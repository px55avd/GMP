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E:\P_Secu_CSR-Schaffter\"/>
    </mc:Choice>
  </mc:AlternateContent>
  <xr:revisionPtr revIDLastSave="0" documentId="13_ncr:1_{DC2E89CA-5E78-4ABC-A052-484C40E1BE92}" xr6:coauthVersionLast="47" xr6:coauthVersionMax="47" xr10:uidLastSave="{00000000-0000-0000-0000-000000000000}"/>
  <bookViews>
    <workbookView xWindow="-110" yWindow="-110" windowWidth="25820" windowHeight="1390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1" i="156" l="1"/>
  <c r="D172" i="156"/>
  <c r="D153" i="156"/>
  <c r="D134" i="156"/>
  <c r="D115" i="156"/>
  <c r="D96" i="156"/>
  <c r="D77" i="156"/>
  <c r="D58" i="156"/>
  <c r="D39" i="156"/>
  <c r="D20" i="156"/>
  <c r="D1" i="156"/>
  <c r="B208" i="156"/>
  <c r="B189" i="156"/>
  <c r="B170" i="156"/>
  <c r="B151" i="156"/>
  <c r="B132" i="156"/>
  <c r="B113" i="156"/>
  <c r="B94" i="156"/>
  <c r="B75" i="156"/>
  <c r="B56" i="156"/>
  <c r="B37" i="156"/>
  <c r="B18" i="156"/>
  <c r="B153" i="155"/>
  <c r="B139" i="155"/>
  <c r="B125" i="155"/>
  <c r="B111" i="155"/>
  <c r="B97" i="155"/>
  <c r="B83" i="155"/>
  <c r="B69" i="155"/>
  <c r="B55" i="155"/>
  <c r="B41" i="155"/>
  <c r="B27" i="155"/>
  <c r="B13" i="155"/>
  <c r="B18" i="154"/>
  <c r="B13" i="11" l="1"/>
</calcChain>
</file>

<file path=xl/sharedStrings.xml><?xml version="1.0" encoding="utf-8"?>
<sst xmlns="http://schemas.openxmlformats.org/spreadsheetml/2006/main" count="288" uniqueCount="74">
  <si>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</si>
  <si>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</si>
  <si>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</si>
  <si>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</si>
  <si>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</si>
  <si>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</si>
  <si>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</si>
  <si>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</si>
  <si>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</si>
  <si>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</si>
  <si>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</si>
  <si>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</si>
  <si>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</si>
  <si>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</si>
  <si>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</si>
  <si>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</si>
  <si>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</si>
  <si>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</si>
  <si>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</si>
  <si>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</si>
  <si>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</si>
  <si>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</si>
  <si>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</si>
  <si>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</si>
  <si>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P_secu-CSR</t>
  </si>
  <si>
    <t>Omar - Egal Ahmed</t>
  </si>
  <si>
    <t>FIN1</t>
  </si>
  <si>
    <t>Lausannne - Vennes</t>
  </si>
  <si>
    <t>Faire</t>
  </si>
  <si>
    <t>Réfléchir</t>
  </si>
  <si>
    <t>Coder</t>
  </si>
  <si>
    <t>Implémenter</t>
  </si>
  <si>
    <t>Récupérer</t>
  </si>
  <si>
    <t>Ajouter</t>
  </si>
  <si>
    <t>Max. 9</t>
  </si>
  <si>
    <t>STOP</t>
  </si>
  <si>
    <t>Les menus nécessaire à l'application et pouvoir y naviguer</t>
  </si>
  <si>
    <t xml:space="preserve">Comment utiliser au mieux la table ascii pour le chiffrement des mots de passes.  </t>
  </si>
  <si>
    <t>Avec des classes : password, website, Username</t>
  </si>
  <si>
    <t>Correction de bug d'affichage du menu</t>
  </si>
  <si>
    <t>La Méthode pour ajouter un authentifiant dans la console.</t>
  </si>
  <si>
    <t>La Méthode pour supprimer un authentifiant dans la console.</t>
  </si>
  <si>
    <t>Corriger</t>
  </si>
  <si>
    <t>Vacances de Pâques</t>
  </si>
  <si>
    <t>MALADIE</t>
  </si>
  <si>
    <t>l'encrypatge céasar</t>
  </si>
  <si>
    <t>L'implémenter à l'incription dans le fichier txt</t>
  </si>
  <si>
    <t>Afficher les éléments entrée dans le fichier txt.</t>
  </si>
  <si>
    <t>Test Somatif du module 114 avec Monsieur Schaffter.</t>
  </si>
  <si>
    <t xml:space="preserve">Test Somatif B I114 </t>
  </si>
  <si>
    <t>Le journal de travail et la planif à l'aide du canevas Excel fournit par l'ETML</t>
  </si>
  <si>
    <t>Reception d'intructions plus précises pour l'implémentation des méthodes d'encryptages et la facons d'enregistrer les informations de fichiers .txt</t>
  </si>
  <si>
    <t>Le répertoire nouveau répertoire git pour le projet P_secu afin de versionné le projet d'avoir des backups réguliers</t>
  </si>
  <si>
    <t>Une ébauche d'un menu  à l'aide d'une classe Menu.cs qui grâce de switch gèrent les basules entre les déférentes pages de mon menu. Les options du menu incluent l'ajout de nouveaux mots de passe, la visualisation des mots de passe existants et la suppression de mots de passe. Cependant, plusieurs bugs subsistent, notamment des erreurs de navigation et des problèmes d'affichage que je dois corriger.</t>
  </si>
  <si>
    <t>Correction de bug d'affichage du menu.  Le menu s'affiche maintenant correctement sur toutes les pages, permettant une navigation fluide entre les différentes fonctionnalités.</t>
  </si>
  <si>
    <t>La Méthode pour ajouter un objet authentifiant dans la console en demandant les différentes informations à enregistrer dans le fichier texte. Malheuresement le code contient encore pas mal de bug.</t>
  </si>
  <si>
    <t>Sur les bugs de la méthode pour ajouter un authentifiant dans la console car les informations demandées sont mal enregistrées.</t>
  </si>
  <si>
    <t xml:space="preserve"> les bugs identifiés dans la méthode d'ajout d'authentifiant. Cela a inclus la modification du code pour améliorer la gestion des erreurs, la validation des entrées utilisateur et la sécurisation des données d'authentification.</t>
  </si>
  <si>
    <t>J'ai ajouté des commentaires détaillés dans le code existant pour expliquer la logique de chaque fonction, les paramètres utilisés et les étapes importantes. Cela facilite la compréhension du code pour moi et pour les autres développeurs qui pourraient travailler sur ce projet à l'avenir</t>
  </si>
  <si>
    <t>Monsieur Shaffter donne des explications sur la manières d'implémanter la logique d'ajout de mots de passes avec un fichier texte et une méthode de chiffremment.</t>
  </si>
  <si>
    <r>
      <t xml:space="preserve">Consultation le site learn.microsoft.com pour obtenir des informations sur la création et la modification de fichiers texte en C#. J'ai pris des notes sur les méthodes recommandées pour ouvrir, lire, écrire et fermer des fichiers texte en utilisant les classes </t>
    </r>
    <r>
      <rPr>
        <sz val="9"/>
        <color rgb="FF0D0D0D"/>
        <rFont val="Century Gothic"/>
        <family val="2"/>
        <scheme val="major"/>
      </rPr>
      <t>StreamReader</t>
    </r>
    <r>
      <rPr>
        <sz val="9"/>
        <color rgb="FF0D0D0D"/>
        <rFont val="Century Gothic"/>
        <family val="2"/>
        <scheme val="major"/>
      </rPr>
      <t xml:space="preserve"> et </t>
    </r>
    <r>
      <rPr>
        <sz val="9"/>
        <color rgb="FF0D0D0D"/>
        <rFont val="Century Gothic"/>
        <family val="2"/>
        <scheme val="major"/>
      </rPr>
      <t>StreamWriter</t>
    </r>
    <r>
      <rPr>
        <sz val="9"/>
        <color rgb="FF0D0D0D"/>
        <rFont val="Century Gothic"/>
        <family val="2"/>
        <scheme val="major"/>
      </rPr>
      <t>.</t>
    </r>
  </si>
  <si>
    <t>identification et corrections des erreurs de conceptualisation dans le projet, notamment des incohérences dans la logique d'authentification et de gestion des mots de passe. J'ai modifié le code en conséquence pour corriger ces erreurs et améliorer la structure globale de l'application.</t>
  </si>
  <si>
    <t xml:space="preserve"> En utilisant les informations récupérées, j'ai commencé à coder une partie de la fonctionnalité pour transcrire les informations des mots de passe dans un fichier texte. J'ai implémenté des fonctions de base pour écrire les mots de passe chiffrés dans le fichier, mais des tests supplémentaires sont nécessaires pour garantir le bon fonctionnement de cette fonctionnalité.</t>
  </si>
  <si>
    <t>aux éléments du projet qui nécessitent des corrections suite à ma semaine d'absence. Cela inclut la revue du code, l'identification des bugs potentiels et la planification des modifications nécessaires pour remettre le projet sur les rails.</t>
  </si>
  <si>
    <t>des commentaires détaillés dans le code existant pour expliquer la logique de chaque fonction, les paramètres utilisés et les étapes importantes. Cela facilite la compréhension du code pour moi et pour les autres développeurs qui pourraient travailler sur ce projet à l'avenir.</t>
  </si>
  <si>
    <t>les erreurs de conceptualisation liées à l'écriture dans un fichier unique. J'ai modifié le code pour centraliser l'écriture des mots de passe dans un seul fichier texte, en assurant que le fichier est bien structuré et que les données sont correctement organisées.</t>
  </si>
  <si>
    <t>Suite aux corrections de conceptualisation, j'ai également corrigé le code qui en avait découlé. Cela a inclus des ajustements dans les méthodes de lecture et d'écriture du fichier texte, ainsi que des modifications dans la logique d'authentification et de gestion des mots de passe.</t>
  </si>
  <si>
    <t>J'ai discuté avec le professeur pour obtenir des explications supplémentaires sur certaines parties du projet. J'ai également demandé de l'aide à un camarade pour comprendre et résoudre quelques problèmes techniques spécifiques. Cette collaboration a été utile pour surmonter les difficultés rencontrées.</t>
  </si>
  <si>
    <t>J'ai travaillé sur la mise en page du code pour le rendre plus lisible et plus agréable à lire. Cela a inclus l'indentation, l'ajout de lignes blanches pour séparer les sections et la réorganisation des blocs de code. J'ai également mis à jour le journal de travail pour refléter les tâches accomplies et les progrès réalisés.</t>
  </si>
  <si>
    <t>Réalisation de l'auto-évaluation de fin de projet et discution avec le professeur sur comment améliorer certain point du projet pour qu'ils atteignent le niveau minimun de atteint. Il faut des lors réaliser l'encryptage césar pour tout type de caratères et l'impèlémentation du Masterpassword dans un fichier à part.</t>
  </si>
  <si>
    <t>La création et la modification du dossier MDP et du fichier .txt afin d'écrire les informations d'identifications entrées par l'utilisateur. Malheuresement, il y a un problème avec l'affichage dans la console des informations du fichier .txt. Elles ne s'affichent pas correctement.</t>
  </si>
  <si>
    <t>Sur ce problème d'affichage. La solution trouver est de créer un sous menu souplémentaire qui gère l'affichage des informations et qui les récupèrent à l'aide d'un modulo 4</t>
  </si>
  <si>
    <t xml:space="preserve">conception du code de l'algorythme de ceasar </t>
  </si>
  <si>
    <t>du chiffrement céasar à l'inscription des infos dans le fichier texte mais ne fonctionne que pour l'alphabet et pas les caratères spéciaux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</si>
</sst>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color rgb="FF0D0D0D"/>
      <name val="Segoe UI"/>
      <family val="2"/>
    </font>
    <font>
      <sz val="10"/>
      <color rgb="FF0D0D0D"/>
      <name val="Segoe UI"/>
      <family val="2"/>
    </font>
    <font>
      <sz val="9"/>
      <color rgb="FF0D0D0D"/>
      <name val="Century Gothic"/>
      <family val="2"/>
      <scheme val="major"/>
    </font>
    <font>
      <sz val="10"/>
      <color rgb="FF0D0D0D"/>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01">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6" fillId="9" borderId="0" xfId="0" applyFont="1" applyFill="1"/>
    <xf numFmtId="0" fontId="9" fillId="12" borderId="13" xfId="0" applyFont="1" applyFill="1" applyBorder="1" applyAlignment="1">
      <alignment horizontal="left" vertical="top" wrapText="1"/>
    </xf>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17" fillId="0" borderId="0" xfId="0" applyFont="1"/>
    <xf numFmtId="0" fontId="18" fillId="0" borderId="0" xfId="0" applyFont="1" applyAlignment="1">
      <alignment vertical="center" wrapText="1"/>
    </xf>
    <xf numFmtId="0" fontId="19" fillId="0" borderId="0" xfId="0" quotePrefix="1" applyFont="1" applyAlignment="1">
      <alignment wrapText="1"/>
    </xf>
    <xf numFmtId="0" fontId="20" fillId="0" borderId="0" xfId="0" applyFont="1" applyAlignment="1">
      <alignment wrapText="1"/>
    </xf>
    <xf numFmtId="0" fontId="20" fillId="0" borderId="0" xfId="0" applyFont="1" applyAlignment="1">
      <alignment vertical="top" wrapText="1"/>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2" xfId="0" applyFont="1" applyBorder="1" applyAlignment="1" applyProtection="1">
      <alignment horizontal="left" vertical="top"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2</xdr:row>
          <xdr:rowOff>0</xdr:rowOff>
        </xdr:from>
        <xdr:to>
          <xdr:col>6</xdr:col>
          <xdr:colOff>6350</xdr:colOff>
          <xdr:row>3</xdr:row>
          <xdr:rowOff>222250</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xdr:row>
          <xdr:rowOff>12700</xdr:rowOff>
        </xdr:from>
        <xdr:to>
          <xdr:col>6</xdr:col>
          <xdr:colOff>25400</xdr:colOff>
          <xdr:row>7</xdr:row>
          <xdr:rowOff>63500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8</xdr:row>
          <xdr:rowOff>190500</xdr:rowOff>
        </xdr:from>
        <xdr:to>
          <xdr:col>6</xdr:col>
          <xdr:colOff>44450</xdr:colOff>
          <xdr:row>10</xdr:row>
          <xdr:rowOff>146050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146050</xdr:colOff>
          <xdr:row>3</xdr:row>
          <xdr:rowOff>63500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146050</xdr:colOff>
          <xdr:row>3</xdr:row>
          <xdr:rowOff>57150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4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146050</xdr:colOff>
          <xdr:row>3</xdr:row>
          <xdr:rowOff>57150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146050</xdr:colOff>
          <xdr:row>3</xdr:row>
          <xdr:rowOff>57150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zoomScaleNormal="100" zoomScaleSheetLayoutView="100" workbookViewId="0">
      <selection activeCell="C28" sqref="C28"/>
    </sheetView>
  </sheetViews>
  <sheetFormatPr baseColWidth="10" defaultColWidth="11.54296875" defaultRowHeight="12.5" x14ac:dyDescent="0.25"/>
  <cols>
    <col min="1" max="1" width="16.54296875" style="57" customWidth="1"/>
    <col min="2" max="2" width="55.1796875" style="57" customWidth="1"/>
    <col min="3" max="3" width="88.54296875" style="57" customWidth="1"/>
    <col min="4" max="4" width="3.453125" style="57" customWidth="1"/>
    <col min="5" max="6" width="11.54296875" style="57"/>
    <col min="7" max="7" width="3.26953125" style="57" customWidth="1"/>
    <col min="8" max="16384" width="11.54296875" style="57"/>
  </cols>
  <sheetData>
    <row r="1" spans="1:7" x14ac:dyDescent="0.25">
      <c r="A1" s="54"/>
      <c r="B1" s="55"/>
      <c r="C1" s="55"/>
      <c r="D1" s="55"/>
      <c r="E1" s="55"/>
      <c r="F1" s="55"/>
      <c r="G1" s="56"/>
    </row>
    <row r="2" spans="1:7" ht="13" thickBot="1" x14ac:dyDescent="0.3">
      <c r="A2" s="58"/>
      <c r="B2" s="59"/>
      <c r="C2" s="59"/>
      <c r="D2" s="59"/>
      <c r="E2" s="59"/>
      <c r="F2" s="59"/>
      <c r="G2" s="60"/>
    </row>
    <row r="3" spans="1:7" ht="20.5" x14ac:dyDescent="0.25">
      <c r="A3" s="58"/>
      <c r="B3" s="61" t="s">
        <v>0</v>
      </c>
      <c r="C3" s="62" t="s">
        <v>24</v>
      </c>
      <c r="D3" s="59"/>
      <c r="E3" s="59"/>
      <c r="F3" s="59"/>
      <c r="G3" s="60"/>
    </row>
    <row r="4" spans="1:7" ht="20.5" x14ac:dyDescent="0.25">
      <c r="A4" s="58"/>
      <c r="B4" s="63" t="s">
        <v>4</v>
      </c>
      <c r="C4" s="64" t="s">
        <v>25</v>
      </c>
      <c r="D4" s="59"/>
      <c r="E4" s="59"/>
      <c r="F4" s="59"/>
      <c r="G4" s="60"/>
    </row>
    <row r="5" spans="1:7" ht="20.5" x14ac:dyDescent="0.25">
      <c r="A5" s="58"/>
      <c r="B5" s="63" t="s">
        <v>1</v>
      </c>
      <c r="C5" s="64" t="s">
        <v>26</v>
      </c>
      <c r="D5" s="59"/>
      <c r="E5" s="59"/>
      <c r="F5" s="59"/>
      <c r="G5" s="60"/>
    </row>
    <row r="6" spans="1:7" ht="21" thickBot="1" x14ac:dyDescent="0.3">
      <c r="A6" s="58"/>
      <c r="B6" s="65" t="s">
        <v>2</v>
      </c>
      <c r="C6" s="66" t="s">
        <v>27</v>
      </c>
      <c r="D6" s="59"/>
      <c r="E6" s="59"/>
      <c r="F6" s="59"/>
      <c r="G6" s="60"/>
    </row>
    <row r="7" spans="1:7" x14ac:dyDescent="0.25">
      <c r="A7" s="58"/>
      <c r="B7" s="59"/>
      <c r="C7" s="59"/>
      <c r="D7" s="59"/>
      <c r="E7" s="59"/>
      <c r="F7" s="59"/>
      <c r="G7" s="60"/>
    </row>
    <row r="8" spans="1:7" ht="13" thickBot="1" x14ac:dyDescent="0.3">
      <c r="A8" s="58"/>
      <c r="B8" s="59"/>
      <c r="C8" s="59"/>
      <c r="D8" s="59"/>
      <c r="E8" s="59"/>
      <c r="F8" s="59"/>
      <c r="G8" s="60"/>
    </row>
    <row r="9" spans="1:7" ht="20.5" x14ac:dyDescent="0.25">
      <c r="A9" s="58"/>
      <c r="B9" s="61" t="s">
        <v>9</v>
      </c>
      <c r="C9" s="67">
        <v>45370</v>
      </c>
      <c r="D9" s="59"/>
      <c r="E9" s="59"/>
      <c r="F9" s="59"/>
      <c r="G9" s="60"/>
    </row>
    <row r="10" spans="1:7" ht="20.5" x14ac:dyDescent="0.25">
      <c r="A10" s="58"/>
      <c r="B10" s="68" t="s">
        <v>8</v>
      </c>
      <c r="C10" s="69">
        <v>45440</v>
      </c>
      <c r="D10" s="59"/>
      <c r="E10" s="59"/>
      <c r="F10" s="59"/>
      <c r="G10" s="60"/>
    </row>
    <row r="11" spans="1:7" ht="20.5" x14ac:dyDescent="0.25">
      <c r="A11" s="58"/>
      <c r="B11" s="68" t="s">
        <v>10</v>
      </c>
      <c r="C11" s="70">
        <v>11</v>
      </c>
      <c r="D11" s="59"/>
      <c r="E11" s="59"/>
      <c r="F11" s="59"/>
      <c r="G11" s="60"/>
    </row>
    <row r="12" spans="1:7" ht="20.5" x14ac:dyDescent="0.25">
      <c r="A12" s="58"/>
      <c r="B12" s="63" t="s">
        <v>11</v>
      </c>
      <c r="C12" s="71">
        <v>3</v>
      </c>
      <c r="D12" s="59"/>
      <c r="E12" s="59"/>
      <c r="F12" s="59"/>
      <c r="G12" s="60"/>
    </row>
    <row r="13" spans="1:7" ht="20.5" x14ac:dyDescent="0.25">
      <c r="A13" s="58"/>
      <c r="B13" s="63" t="s">
        <v>12</v>
      </c>
      <c r="C13" s="71">
        <v>3</v>
      </c>
      <c r="D13" s="59"/>
      <c r="E13" s="59"/>
      <c r="F13" s="59"/>
      <c r="G13" s="60"/>
    </row>
    <row r="14" spans="1:7" ht="21" thickBot="1" x14ac:dyDescent="0.3">
      <c r="A14" s="58"/>
      <c r="B14" s="72"/>
      <c r="C14" s="73" t="s">
        <v>6</v>
      </c>
      <c r="D14" s="59"/>
      <c r="E14" s="59"/>
      <c r="F14" s="59"/>
      <c r="G14" s="60"/>
    </row>
    <row r="15" spans="1:7" x14ac:dyDescent="0.25">
      <c r="A15" s="58"/>
      <c r="B15" s="59"/>
      <c r="C15" s="59"/>
      <c r="D15" s="59"/>
      <c r="E15" s="59"/>
      <c r="F15" s="59"/>
      <c r="G15" s="60"/>
    </row>
    <row r="16" spans="1:7" ht="13" thickBot="1" x14ac:dyDescent="0.3">
      <c r="A16" s="74"/>
      <c r="B16" s="75"/>
      <c r="C16" s="75"/>
      <c r="D16" s="75"/>
      <c r="E16" s="75"/>
      <c r="F16" s="75"/>
      <c r="G16" s="76"/>
    </row>
    <row r="17" spans="1:7" x14ac:dyDescent="0.25">
      <c r="A17" s="77"/>
      <c r="B17" s="55"/>
      <c r="C17" s="55"/>
      <c r="D17" s="55"/>
      <c r="E17" s="55"/>
      <c r="F17" s="55"/>
      <c r="G17" s="56"/>
    </row>
    <row r="18" spans="1:7" ht="13" thickBot="1" x14ac:dyDescent="0.3">
      <c r="A18" s="78"/>
      <c r="B18" s="59"/>
      <c r="C18" s="59"/>
      <c r="D18" s="59"/>
      <c r="E18" s="59"/>
      <c r="F18" s="59"/>
      <c r="G18" s="60"/>
    </row>
    <row r="19" spans="1:7" ht="20" thickBot="1" x14ac:dyDescent="0.3">
      <c r="A19" s="78"/>
      <c r="B19" s="96" t="s">
        <v>19</v>
      </c>
      <c r="C19" s="97"/>
      <c r="D19" s="59"/>
      <c r="E19" s="59"/>
      <c r="F19" s="59"/>
      <c r="G19" s="60"/>
    </row>
    <row r="20" spans="1:7" ht="20.5" x14ac:dyDescent="0.25">
      <c r="A20" s="78"/>
      <c r="B20" s="79" t="s">
        <v>20</v>
      </c>
      <c r="C20" s="80" t="s">
        <v>21</v>
      </c>
      <c r="D20" s="59"/>
      <c r="E20" s="59"/>
      <c r="F20" s="59"/>
      <c r="G20" s="60"/>
    </row>
    <row r="21" spans="1:7" ht="20.5" x14ac:dyDescent="0.25">
      <c r="A21" s="78"/>
      <c r="B21" s="79">
        <v>1</v>
      </c>
      <c r="C21" s="69" t="s">
        <v>28</v>
      </c>
      <c r="D21" s="59"/>
      <c r="E21" s="59"/>
      <c r="F21" s="59"/>
      <c r="G21" s="60"/>
    </row>
    <row r="22" spans="1:7" ht="20.5" x14ac:dyDescent="0.25">
      <c r="A22" s="78"/>
      <c r="B22" s="79">
        <v>2</v>
      </c>
      <c r="C22" s="70" t="s">
        <v>29</v>
      </c>
      <c r="D22" s="59"/>
      <c r="E22" s="59"/>
      <c r="F22" s="59"/>
      <c r="G22" s="60"/>
    </row>
    <row r="23" spans="1:7" ht="20.5" x14ac:dyDescent="0.25">
      <c r="A23" s="78"/>
      <c r="B23" s="81">
        <v>3</v>
      </c>
      <c r="C23" s="70" t="s">
        <v>30</v>
      </c>
      <c r="D23" s="59"/>
      <c r="E23" s="59"/>
      <c r="F23" s="59"/>
      <c r="G23" s="60"/>
    </row>
    <row r="24" spans="1:7" ht="20.5" x14ac:dyDescent="0.25">
      <c r="A24" s="78"/>
      <c r="B24" s="79">
        <v>4</v>
      </c>
      <c r="C24" s="70" t="s">
        <v>31</v>
      </c>
      <c r="D24" s="59"/>
      <c r="E24" s="59"/>
      <c r="F24" s="59"/>
      <c r="G24" s="60"/>
    </row>
    <row r="25" spans="1:7" ht="20.5" x14ac:dyDescent="0.25">
      <c r="A25" s="78"/>
      <c r="B25" s="79">
        <v>5</v>
      </c>
      <c r="C25" s="70" t="s">
        <v>32</v>
      </c>
      <c r="D25" s="59"/>
      <c r="E25" s="59"/>
      <c r="F25" s="59"/>
      <c r="G25" s="60"/>
    </row>
    <row r="26" spans="1:7" ht="20.5" x14ac:dyDescent="0.25">
      <c r="A26" s="78"/>
      <c r="B26" s="81">
        <v>6</v>
      </c>
      <c r="C26" s="70" t="s">
        <v>33</v>
      </c>
      <c r="D26" s="59"/>
      <c r="E26" s="59"/>
      <c r="F26" s="59"/>
      <c r="G26" s="60"/>
    </row>
    <row r="27" spans="1:7" ht="20.5" x14ac:dyDescent="0.25">
      <c r="A27" s="78"/>
      <c r="B27" s="79">
        <v>7</v>
      </c>
      <c r="C27" s="70" t="s">
        <v>42</v>
      </c>
      <c r="D27" s="59"/>
      <c r="E27" s="59"/>
      <c r="F27" s="59"/>
      <c r="G27" s="60"/>
    </row>
    <row r="28" spans="1:7" ht="20.5" x14ac:dyDescent="0.25">
      <c r="A28" s="78"/>
      <c r="B28" s="79">
        <v>8</v>
      </c>
      <c r="C28" s="71"/>
      <c r="D28" s="59"/>
      <c r="E28" s="59"/>
      <c r="F28" s="59"/>
      <c r="G28" s="60"/>
    </row>
    <row r="29" spans="1:7" ht="20.5" x14ac:dyDescent="0.25">
      <c r="A29" s="78"/>
      <c r="B29" s="81">
        <v>9</v>
      </c>
      <c r="C29" s="71"/>
      <c r="D29" s="59"/>
      <c r="E29" s="59"/>
      <c r="F29" s="59"/>
      <c r="G29" s="60"/>
    </row>
    <row r="30" spans="1:7" ht="20.5" x14ac:dyDescent="0.25">
      <c r="A30" s="78"/>
      <c r="B30" s="79">
        <v>10</v>
      </c>
      <c r="C30" s="70"/>
      <c r="D30" s="59"/>
      <c r="E30" s="59"/>
      <c r="F30" s="59"/>
      <c r="G30" s="60"/>
    </row>
    <row r="31" spans="1:7" ht="20.5" x14ac:dyDescent="0.25">
      <c r="A31" s="78"/>
      <c r="B31" s="79">
        <v>11</v>
      </c>
      <c r="C31" s="70"/>
      <c r="D31" s="59"/>
      <c r="E31" s="59"/>
      <c r="F31" s="59"/>
      <c r="G31" s="60"/>
    </row>
    <row r="32" spans="1:7" ht="20.5" x14ac:dyDescent="0.25">
      <c r="A32" s="78"/>
      <c r="B32" s="81">
        <v>12</v>
      </c>
      <c r="C32" s="70"/>
      <c r="D32" s="59"/>
      <c r="E32" s="59"/>
      <c r="F32" s="59"/>
      <c r="G32" s="60"/>
    </row>
    <row r="33" spans="1:7" ht="20.5" x14ac:dyDescent="0.25">
      <c r="A33" s="78"/>
      <c r="B33" s="79">
        <v>13</v>
      </c>
      <c r="C33" s="70"/>
      <c r="D33" s="59"/>
      <c r="E33" s="59"/>
      <c r="F33" s="59"/>
      <c r="G33" s="60"/>
    </row>
    <row r="34" spans="1:7" ht="20.5" x14ac:dyDescent="0.25">
      <c r="A34" s="78"/>
      <c r="B34" s="79">
        <v>14</v>
      </c>
      <c r="C34" s="71"/>
      <c r="D34" s="59"/>
      <c r="E34" s="59"/>
      <c r="F34" s="59"/>
      <c r="G34" s="60"/>
    </row>
    <row r="35" spans="1:7" ht="20.5" x14ac:dyDescent="0.25">
      <c r="A35" s="78"/>
      <c r="B35" s="81">
        <v>15</v>
      </c>
      <c r="C35" s="71"/>
      <c r="D35" s="59"/>
      <c r="E35" s="59"/>
      <c r="F35" s="59"/>
      <c r="G35" s="60"/>
    </row>
    <row r="36" spans="1:7" ht="20.5" x14ac:dyDescent="0.25">
      <c r="A36" s="78"/>
      <c r="B36" s="79">
        <v>16</v>
      </c>
      <c r="C36" s="70"/>
      <c r="D36" s="59"/>
      <c r="E36" s="59"/>
      <c r="F36" s="59"/>
      <c r="G36" s="60"/>
    </row>
    <row r="37" spans="1:7" ht="20.5" x14ac:dyDescent="0.25">
      <c r="A37" s="78"/>
      <c r="B37" s="79">
        <v>17</v>
      </c>
      <c r="C37" s="70"/>
      <c r="D37" s="59"/>
      <c r="E37" s="59"/>
      <c r="F37" s="59"/>
      <c r="G37" s="60"/>
    </row>
    <row r="38" spans="1:7" ht="20.5" x14ac:dyDescent="0.25">
      <c r="A38" s="78"/>
      <c r="B38" s="81">
        <v>18</v>
      </c>
      <c r="C38" s="70"/>
      <c r="D38" s="59"/>
      <c r="E38" s="59"/>
      <c r="F38" s="59"/>
      <c r="G38" s="60"/>
    </row>
    <row r="39" spans="1:7" ht="20.5" x14ac:dyDescent="0.25">
      <c r="A39" s="78"/>
      <c r="B39" s="79">
        <v>19</v>
      </c>
      <c r="C39" s="70"/>
      <c r="D39" s="59"/>
      <c r="E39" s="59"/>
      <c r="F39" s="59"/>
      <c r="G39" s="60"/>
    </row>
    <row r="40" spans="1:7" ht="20.5" x14ac:dyDescent="0.25">
      <c r="A40" s="78"/>
      <c r="B40" s="79">
        <v>20</v>
      </c>
      <c r="C40" s="71"/>
      <c r="D40" s="59"/>
      <c r="E40" s="59"/>
      <c r="F40" s="59"/>
      <c r="G40" s="60"/>
    </row>
    <row r="41" spans="1:7" ht="20.5" x14ac:dyDescent="0.25">
      <c r="A41" s="78"/>
      <c r="B41" s="81">
        <v>21</v>
      </c>
      <c r="C41" s="71"/>
      <c r="D41" s="59"/>
      <c r="E41" s="59"/>
      <c r="F41" s="59"/>
      <c r="G41" s="60"/>
    </row>
    <row r="42" spans="1:7" ht="20.5" x14ac:dyDescent="0.25">
      <c r="A42" s="78"/>
      <c r="B42" s="79">
        <v>22</v>
      </c>
      <c r="C42" s="70"/>
      <c r="D42" s="59"/>
      <c r="E42" s="59"/>
      <c r="F42" s="59"/>
      <c r="G42" s="60"/>
    </row>
    <row r="43" spans="1:7" ht="20.5" x14ac:dyDescent="0.25">
      <c r="A43" s="78"/>
      <c r="B43" s="79">
        <v>23</v>
      </c>
      <c r="C43" s="70"/>
      <c r="D43" s="59"/>
      <c r="E43" s="59"/>
      <c r="F43" s="59"/>
      <c r="G43" s="60"/>
    </row>
    <row r="44" spans="1:7" ht="20.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3"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12700</xdr:colOff>
                <xdr:row>5</xdr:row>
                <xdr:rowOff>12700</xdr:rowOff>
              </from>
              <to>
                <xdr:col>6</xdr:col>
                <xdr:colOff>25400</xdr:colOff>
                <xdr:row>7</xdr:row>
                <xdr:rowOff>63500</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12700</xdr:colOff>
                <xdr:row>2</xdr:row>
                <xdr:rowOff>0</xdr:rowOff>
              </from>
              <to>
                <xdr:col>6</xdr:col>
                <xdr:colOff>6350</xdr:colOff>
                <xdr:row>3</xdr:row>
                <xdr:rowOff>222250</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12700</xdr:colOff>
                <xdr:row>8</xdr:row>
                <xdr:rowOff>190500</xdr:rowOff>
              </from>
              <to>
                <xdr:col>6</xdr:col>
                <xdr:colOff>44450</xdr:colOff>
                <xdr:row>10</xdr:row>
                <xdr:rowOff>146050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4296875" defaultRowHeight="19.5" customHeight="1" x14ac:dyDescent="0.25"/>
  <cols>
    <col min="1" max="1" width="17.81640625" style="20" customWidth="1"/>
    <col min="2" max="2" width="51.26953125" style="20" customWidth="1"/>
    <col min="3" max="3" width="19.453125" style="20" customWidth="1"/>
    <col min="4" max="16384" width="1.54296875" style="20"/>
  </cols>
  <sheetData>
    <row r="1" spans="1:4" ht="13" thickBot="1" x14ac:dyDescent="0.3">
      <c r="B1" s="21"/>
      <c r="C1" s="21"/>
    </row>
    <row r="2" spans="1:4" ht="42.75" customHeight="1" thickBot="1" x14ac:dyDescent="0.3">
      <c r="A2" s="19"/>
      <c r="B2" s="23" t="s">
        <v>5</v>
      </c>
      <c r="C2" s="15" t="s">
        <v>18</v>
      </c>
    </row>
    <row r="3" spans="1:4" ht="19.5" customHeight="1" x14ac:dyDescent="0.25">
      <c r="A3" s="19"/>
      <c r="B3" s="98" t="s">
        <v>21</v>
      </c>
      <c r="C3" s="16">
        <v>0</v>
      </c>
    </row>
    <row r="4" spans="1:4" ht="19.5" customHeight="1" x14ac:dyDescent="0.25">
      <c r="A4" s="19"/>
      <c r="B4" s="99"/>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2.5" x14ac:dyDescent="0.25"/>
  <cols>
    <col min="2" max="2" width="51.81640625" customWidth="1"/>
    <col min="3" max="3" width="35" customWidth="1"/>
  </cols>
  <sheetData>
    <row r="3" spans="2:3" ht="27.75" customHeight="1" x14ac:dyDescent="0.25">
      <c r="B3" s="25" t="s">
        <v>16</v>
      </c>
      <c r="C3" s="27">
        <v>0</v>
      </c>
    </row>
    <row r="4" spans="2:3" ht="18" thickBot="1" x14ac:dyDescent="0.3">
      <c r="B4" s="26" t="s">
        <v>17</v>
      </c>
      <c r="C4" s="28">
        <v>0</v>
      </c>
    </row>
    <row r="39" spans="5:5" ht="13" x14ac:dyDescent="0.3">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6" t="s">
        <v>14</v>
      </c>
      <c r="B1" s="7">
        <v>1</v>
      </c>
      <c r="C1" s="17"/>
      <c r="D1" s="85"/>
    </row>
    <row r="2" spans="1:4" ht="23.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 thickBot="1" x14ac:dyDescent="0.3">
      <c r="A12" s="3"/>
      <c r="B12" s="3"/>
      <c r="C12" s="11"/>
      <c r="D12" s="11"/>
    </row>
    <row r="13" spans="1:4" ht="13" thickBot="1" x14ac:dyDescent="0.3">
      <c r="A13" s="12" t="s">
        <v>22</v>
      </c>
      <c r="B13" s="12">
        <f>SUM(B3:B12)</f>
        <v>0</v>
      </c>
      <c r="C13" s="13"/>
      <c r="D13" s="13"/>
    </row>
    <row r="14" spans="1:4" x14ac:dyDescent="0.25">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x14ac:dyDescent="0.25">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184150</xdr:rowOff>
              </from>
              <to>
                <xdr:col>7</xdr:col>
                <xdr:colOff>146050</xdr:colOff>
                <xdr:row>3</xdr:row>
                <xdr:rowOff>63500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FDCF0-0EF2-4CA0-915F-8931C487FB31}">
  <sheetPr codeName="Feuil5"/>
  <dimension ref="A1:H155"/>
  <sheetViews>
    <sheetView topLeftCell="A136" workbookViewId="0">
      <selection activeCell="C143" sqref="C143"/>
    </sheetView>
  </sheetViews>
  <sheetFormatPr baseColWidth="10"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6" t="s">
        <v>14</v>
      </c>
      <c r="B1" s="7">
        <v>1</v>
      </c>
      <c r="C1" s="17"/>
      <c r="D1" s="85"/>
    </row>
    <row r="2" spans="1:4" ht="23.5" thickBot="1" x14ac:dyDescent="0.3">
      <c r="A2" s="8" t="s">
        <v>3</v>
      </c>
      <c r="B2" s="18" t="s">
        <v>15</v>
      </c>
      <c r="C2" s="8" t="s">
        <v>7</v>
      </c>
      <c r="D2" s="8" t="s">
        <v>13</v>
      </c>
    </row>
    <row r="3" spans="1:4" s="52" customFormat="1" x14ac:dyDescent="0.25">
      <c r="A3" s="5" t="s">
        <v>28</v>
      </c>
      <c r="B3" s="4">
        <v>3</v>
      </c>
      <c r="C3" s="89" t="s">
        <v>36</v>
      </c>
      <c r="D3" s="9"/>
    </row>
    <row r="4" spans="1:4" s="52" customFormat="1" x14ac:dyDescent="0.25">
      <c r="A4" s="1" t="s">
        <v>29</v>
      </c>
      <c r="B4" s="2">
        <v>3</v>
      </c>
      <c r="C4" s="90" t="s">
        <v>37</v>
      </c>
      <c r="D4" s="10"/>
    </row>
    <row r="5" spans="1:4" s="52" customFormat="1" x14ac:dyDescent="0.25">
      <c r="A5" s="1" t="s">
        <v>30</v>
      </c>
      <c r="B5" s="2">
        <v>3</v>
      </c>
      <c r="C5" s="90" t="s">
        <v>38</v>
      </c>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 thickBot="1" x14ac:dyDescent="0.3">
      <c r="A12" s="3"/>
      <c r="B12" s="3"/>
      <c r="C12" s="11"/>
      <c r="D12" s="11"/>
    </row>
    <row r="13" spans="1:4" ht="13" thickBot="1" x14ac:dyDescent="0.3">
      <c r="A13" s="12" t="s">
        <v>22</v>
      </c>
      <c r="B13" s="12">
        <f>SUM(B3:B12)</f>
        <v>9</v>
      </c>
      <c r="C13" s="86" t="s">
        <v>34</v>
      </c>
      <c r="D13" s="13"/>
    </row>
    <row r="14" spans="1:4" ht="13" thickBot="1" x14ac:dyDescent="0.3">
      <c r="A14" s="14"/>
      <c r="B14" s="14"/>
      <c r="C14" s="14"/>
      <c r="D14" s="14"/>
    </row>
    <row r="15" spans="1:4" ht="18" thickBot="1" x14ac:dyDescent="0.3">
      <c r="A15" s="6" t="s">
        <v>14</v>
      </c>
      <c r="B15" s="7">
        <v>2</v>
      </c>
      <c r="C15" s="17"/>
      <c r="D15" s="85"/>
    </row>
    <row r="16" spans="1:4" ht="23.5" thickBot="1" x14ac:dyDescent="0.3">
      <c r="A16" s="8" t="s">
        <v>3</v>
      </c>
      <c r="B16" s="18" t="s">
        <v>15</v>
      </c>
      <c r="C16" s="8" t="s">
        <v>7</v>
      </c>
      <c r="D16" s="8" t="s">
        <v>13</v>
      </c>
    </row>
    <row r="17" spans="1:8" x14ac:dyDescent="0.25">
      <c r="A17" s="5" t="s">
        <v>28</v>
      </c>
      <c r="B17" s="4">
        <v>3</v>
      </c>
      <c r="C17" s="89" t="s">
        <v>39</v>
      </c>
      <c r="D17" s="9"/>
    </row>
    <row r="18" spans="1:8" x14ac:dyDescent="0.25">
      <c r="A18" s="1" t="s">
        <v>30</v>
      </c>
      <c r="B18" s="2">
        <v>3</v>
      </c>
      <c r="C18" s="90" t="s">
        <v>40</v>
      </c>
      <c r="D18" s="10"/>
    </row>
    <row r="19" spans="1:8" x14ac:dyDescent="0.25">
      <c r="A19" s="1" t="s">
        <v>30</v>
      </c>
      <c r="B19" s="2">
        <v>3</v>
      </c>
      <c r="C19" s="90" t="s">
        <v>41</v>
      </c>
      <c r="D19" s="10"/>
    </row>
    <row r="20" spans="1:8" ht="12.75" customHeight="1" x14ac:dyDescent="0.25">
      <c r="A20" s="1"/>
      <c r="B20" s="2"/>
      <c r="C20" s="10"/>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3" thickBot="1" x14ac:dyDescent="0.3">
      <c r="A26" s="3"/>
      <c r="B26" s="3"/>
      <c r="C26" s="11"/>
      <c r="D26" s="11"/>
      <c r="F26" s="36"/>
      <c r="G26" s="37"/>
      <c r="H26" s="37"/>
    </row>
    <row r="27" spans="1:8" ht="13" thickBot="1" x14ac:dyDescent="0.3">
      <c r="A27" s="12" t="s">
        <v>22</v>
      </c>
      <c r="B27" s="12">
        <f>SUM(B17:B26)</f>
        <v>9</v>
      </c>
      <c r="C27" s="86" t="s">
        <v>34</v>
      </c>
      <c r="D27" s="13"/>
      <c r="F27" s="36"/>
      <c r="G27" s="37"/>
      <c r="H27" s="37"/>
    </row>
    <row r="28" spans="1:8" ht="13" thickBot="1" x14ac:dyDescent="0.3">
      <c r="A28" s="14"/>
      <c r="B28" s="14"/>
      <c r="C28" s="14"/>
      <c r="D28" s="14"/>
      <c r="F28" s="36"/>
      <c r="G28" s="37"/>
      <c r="H28" s="37"/>
    </row>
    <row r="29" spans="1:8" ht="18" thickBot="1" x14ac:dyDescent="0.3">
      <c r="A29" s="6" t="s">
        <v>14</v>
      </c>
      <c r="B29" s="7">
        <v>3</v>
      </c>
      <c r="C29" s="17"/>
      <c r="D29" s="85"/>
      <c r="F29" s="36"/>
      <c r="G29" s="37"/>
      <c r="H29" s="37"/>
    </row>
    <row r="30" spans="1:8" ht="23.5" thickBot="1" x14ac:dyDescent="0.3">
      <c r="A30" s="8" t="s">
        <v>3</v>
      </c>
      <c r="B30" s="18" t="s">
        <v>15</v>
      </c>
      <c r="C30" s="8" t="s">
        <v>7</v>
      </c>
      <c r="D30" s="8" t="s">
        <v>13</v>
      </c>
      <c r="F30" s="38"/>
      <c r="G30" s="39"/>
      <c r="H30" s="39"/>
    </row>
    <row r="31" spans="1:8" x14ac:dyDescent="0.25">
      <c r="A31" s="5"/>
      <c r="B31" s="4"/>
      <c r="C31" s="9"/>
      <c r="D31" s="9"/>
      <c r="F31" s="40"/>
      <c r="G31" s="40"/>
      <c r="H31" s="40"/>
    </row>
    <row r="32" spans="1:8" x14ac:dyDescent="0.25">
      <c r="A32" s="1"/>
      <c r="B32" s="2"/>
      <c r="C32" s="10"/>
      <c r="D32" s="10"/>
    </row>
    <row r="33" spans="1:4" x14ac:dyDescent="0.25">
      <c r="A33" s="1"/>
      <c r="B33" s="2"/>
      <c r="C33" s="10"/>
      <c r="D33" s="10"/>
    </row>
    <row r="34" spans="1:4" x14ac:dyDescent="0.25">
      <c r="A34" s="1"/>
      <c r="B34" s="2"/>
      <c r="C34" s="10"/>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3" thickBot="1" x14ac:dyDescent="0.3">
      <c r="A40" s="3"/>
      <c r="B40" s="3"/>
      <c r="C40" s="11"/>
      <c r="D40" s="11"/>
    </row>
    <row r="41" spans="1:4" ht="13" thickBot="1" x14ac:dyDescent="0.3">
      <c r="A41" s="12" t="s">
        <v>22</v>
      </c>
      <c r="B41" s="12">
        <f>SUM(B31:B40)</f>
        <v>0</v>
      </c>
      <c r="C41" s="86" t="s">
        <v>34</v>
      </c>
      <c r="D41" s="13"/>
    </row>
    <row r="42" spans="1:4" ht="13" thickBot="1" x14ac:dyDescent="0.3">
      <c r="A42" s="14"/>
      <c r="B42" s="14"/>
      <c r="C42" s="14"/>
      <c r="D42" s="14"/>
    </row>
    <row r="43" spans="1:4" ht="18" thickBot="1" x14ac:dyDescent="0.3">
      <c r="A43" s="6" t="s">
        <v>14</v>
      </c>
      <c r="B43" s="7">
        <v>4</v>
      </c>
      <c r="C43" s="17"/>
      <c r="D43" s="85"/>
    </row>
    <row r="44" spans="1:4" ht="23.5" thickBot="1" x14ac:dyDescent="0.3">
      <c r="A44" s="8" t="s">
        <v>3</v>
      </c>
      <c r="B44" s="18" t="s">
        <v>15</v>
      </c>
      <c r="C44" s="8" t="s">
        <v>7</v>
      </c>
      <c r="D44" s="8" t="s">
        <v>13</v>
      </c>
    </row>
    <row r="45" spans="1:4" x14ac:dyDescent="0.25">
      <c r="A45" s="5"/>
      <c r="B45" s="4"/>
      <c r="C45" s="9"/>
      <c r="D45" s="9"/>
    </row>
    <row r="46" spans="1:4" x14ac:dyDescent="0.25">
      <c r="A46" s="1"/>
      <c r="B46" s="2"/>
      <c r="C46" s="10"/>
      <c r="D46" s="10"/>
    </row>
    <row r="47" spans="1:4" x14ac:dyDescent="0.25">
      <c r="A47" s="1"/>
      <c r="B47" s="2"/>
      <c r="C47" s="10"/>
      <c r="D47" s="10"/>
    </row>
    <row r="48" spans="1:4"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3" thickBot="1" x14ac:dyDescent="0.3">
      <c r="A54" s="3"/>
      <c r="B54" s="3"/>
      <c r="C54" s="11"/>
      <c r="D54" s="11"/>
    </row>
    <row r="55" spans="1:4" ht="13" thickBot="1" x14ac:dyDescent="0.3">
      <c r="A55" s="12" t="s">
        <v>22</v>
      </c>
      <c r="B55" s="12">
        <f>SUM(B45:B54)</f>
        <v>0</v>
      </c>
      <c r="C55" s="86" t="s">
        <v>34</v>
      </c>
      <c r="D55" s="13"/>
    </row>
    <row r="56" spans="1:4" ht="13" thickBot="1" x14ac:dyDescent="0.3">
      <c r="A56" s="14"/>
      <c r="B56" s="14"/>
      <c r="C56" s="14"/>
      <c r="D56" s="14"/>
    </row>
    <row r="57" spans="1:4" ht="18" thickBot="1" x14ac:dyDescent="0.3">
      <c r="A57" s="6" t="s">
        <v>14</v>
      </c>
      <c r="B57" s="7">
        <v>5</v>
      </c>
      <c r="C57" s="17"/>
      <c r="D57" s="85"/>
    </row>
    <row r="58" spans="1:4" ht="23.5" thickBot="1" x14ac:dyDescent="0.3">
      <c r="A58" s="8" t="s">
        <v>3</v>
      </c>
      <c r="B58" s="18" t="s">
        <v>15</v>
      </c>
      <c r="C58" s="8" t="s">
        <v>7</v>
      </c>
      <c r="D58" s="8" t="s">
        <v>13</v>
      </c>
    </row>
    <row r="59" spans="1:4" x14ac:dyDescent="0.25">
      <c r="A59" s="5"/>
      <c r="B59" s="4"/>
      <c r="C59" s="9"/>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3" thickBot="1" x14ac:dyDescent="0.3">
      <c r="A68" s="3"/>
      <c r="B68" s="3"/>
      <c r="C68" s="11"/>
      <c r="D68" s="11"/>
    </row>
    <row r="69" spans="1:4" ht="13" thickBot="1" x14ac:dyDescent="0.3">
      <c r="A69" s="12" t="s">
        <v>22</v>
      </c>
      <c r="B69" s="12">
        <f>SUM(B59:B68)</f>
        <v>0</v>
      </c>
      <c r="C69" s="86" t="s">
        <v>34</v>
      </c>
      <c r="D69" s="13"/>
    </row>
    <row r="70" spans="1:4" ht="13" thickBot="1" x14ac:dyDescent="0.3">
      <c r="A70" s="14"/>
      <c r="B70" s="14"/>
      <c r="C70" s="14"/>
      <c r="D70" s="14"/>
    </row>
    <row r="71" spans="1:4" ht="18" thickBot="1" x14ac:dyDescent="0.3">
      <c r="A71" s="6" t="s">
        <v>14</v>
      </c>
      <c r="B71" s="7">
        <v>6</v>
      </c>
      <c r="C71" s="17"/>
      <c r="D71" s="85"/>
    </row>
    <row r="72" spans="1:4" ht="23.5" thickBot="1" x14ac:dyDescent="0.3">
      <c r="A72" s="8" t="s">
        <v>3</v>
      </c>
      <c r="B72" s="18" t="s">
        <v>15</v>
      </c>
      <c r="C72" s="8" t="s">
        <v>7</v>
      </c>
      <c r="D72" s="8"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3" thickBot="1" x14ac:dyDescent="0.3">
      <c r="A82" s="3"/>
      <c r="B82" s="3"/>
      <c r="C82" s="11"/>
      <c r="D82" s="11"/>
    </row>
    <row r="83" spans="1:4" ht="13" thickBot="1" x14ac:dyDescent="0.3">
      <c r="A83" s="12" t="s">
        <v>22</v>
      </c>
      <c r="B83" s="12">
        <f>SUM(B73:B82)</f>
        <v>0</v>
      </c>
      <c r="C83" s="86" t="s">
        <v>34</v>
      </c>
      <c r="D83" s="13"/>
    </row>
    <row r="84" spans="1:4" ht="13" thickBot="1" x14ac:dyDescent="0.3">
      <c r="A84" s="14"/>
      <c r="B84" s="14"/>
      <c r="C84" s="14"/>
      <c r="D84" s="14"/>
    </row>
    <row r="85" spans="1:4" ht="18" thickBot="1" x14ac:dyDescent="0.3">
      <c r="A85" s="6" t="s">
        <v>14</v>
      </c>
      <c r="B85" s="7">
        <v>7</v>
      </c>
      <c r="C85" s="17"/>
      <c r="D85" s="85"/>
    </row>
    <row r="86" spans="1:4" ht="23.5" thickBot="1" x14ac:dyDescent="0.3">
      <c r="A86" s="8" t="s">
        <v>3</v>
      </c>
      <c r="B86" s="18" t="s">
        <v>15</v>
      </c>
      <c r="C86" s="8" t="s">
        <v>7</v>
      </c>
      <c r="D86" s="8" t="s">
        <v>13</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3" thickBot="1" x14ac:dyDescent="0.3">
      <c r="A96" s="3"/>
      <c r="B96" s="3"/>
      <c r="C96" s="11"/>
      <c r="D96" s="11"/>
    </row>
    <row r="97" spans="1:4" ht="13" thickBot="1" x14ac:dyDescent="0.3">
      <c r="A97" s="12" t="s">
        <v>22</v>
      </c>
      <c r="B97" s="12">
        <f>SUM(B87:B96)</f>
        <v>0</v>
      </c>
      <c r="C97" s="86" t="s">
        <v>34</v>
      </c>
      <c r="D97" s="13"/>
    </row>
    <row r="98" spans="1:4" ht="13" thickBot="1" x14ac:dyDescent="0.3">
      <c r="A98" s="14"/>
      <c r="B98" s="14"/>
      <c r="C98" s="14"/>
      <c r="D98" s="14"/>
    </row>
    <row r="99" spans="1:4" ht="18" thickBot="1" x14ac:dyDescent="0.3">
      <c r="A99" s="6" t="s">
        <v>14</v>
      </c>
      <c r="B99" s="7">
        <v>8</v>
      </c>
      <c r="C99" s="17"/>
      <c r="D99" s="85"/>
    </row>
    <row r="100" spans="1:4" ht="23.5" thickBot="1" x14ac:dyDescent="0.3">
      <c r="A100" s="8" t="s">
        <v>3</v>
      </c>
      <c r="B100" s="18" t="s">
        <v>15</v>
      </c>
      <c r="C100" s="8" t="s">
        <v>7</v>
      </c>
      <c r="D100" s="8" t="s">
        <v>13</v>
      </c>
    </row>
    <row r="101" spans="1:4" x14ac:dyDescent="0.25">
      <c r="A101" s="5" t="s">
        <v>28</v>
      </c>
      <c r="B101" s="4">
        <v>3</v>
      </c>
      <c r="C101" s="89" t="s">
        <v>45</v>
      </c>
      <c r="D101" s="9"/>
    </row>
    <row r="102" spans="1:4" x14ac:dyDescent="0.25">
      <c r="A102" s="1" t="s">
        <v>28</v>
      </c>
      <c r="B102" s="2">
        <v>2</v>
      </c>
      <c r="C102" s="90" t="s">
        <v>46</v>
      </c>
      <c r="D102" s="10"/>
    </row>
    <row r="103" spans="1:4" x14ac:dyDescent="0.25">
      <c r="A103" s="1" t="s">
        <v>28</v>
      </c>
      <c r="B103" s="2">
        <v>3</v>
      </c>
      <c r="C103" s="90" t="s">
        <v>47</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3" thickBot="1" x14ac:dyDescent="0.3">
      <c r="A110" s="3"/>
      <c r="B110" s="3"/>
      <c r="C110" s="11"/>
      <c r="D110" s="11"/>
    </row>
    <row r="111" spans="1:4" ht="13" thickBot="1" x14ac:dyDescent="0.3">
      <c r="A111" s="12" t="s">
        <v>22</v>
      </c>
      <c r="B111" s="12">
        <f>SUM(B101:B110)</f>
        <v>8</v>
      </c>
      <c r="C111" s="86" t="s">
        <v>34</v>
      </c>
      <c r="D111" s="13"/>
    </row>
    <row r="112" spans="1:4" ht="13" thickBot="1" x14ac:dyDescent="0.3">
      <c r="A112" s="14"/>
      <c r="B112" s="14"/>
      <c r="C112" s="14"/>
      <c r="D112" s="14"/>
    </row>
    <row r="113" spans="1:4" ht="18" thickBot="1" x14ac:dyDescent="0.3">
      <c r="A113" s="6" t="s">
        <v>14</v>
      </c>
      <c r="B113" s="7">
        <v>9</v>
      </c>
      <c r="C113" s="17"/>
      <c r="D113" s="85"/>
    </row>
    <row r="114" spans="1:4" ht="23.5" thickBot="1" x14ac:dyDescent="0.3">
      <c r="A114" s="8" t="s">
        <v>3</v>
      </c>
      <c r="B114" s="18" t="s">
        <v>15</v>
      </c>
      <c r="C114" s="8" t="s">
        <v>7</v>
      </c>
      <c r="D114" s="8" t="s">
        <v>13</v>
      </c>
    </row>
    <row r="115" spans="1:4" x14ac:dyDescent="0.25">
      <c r="A115" s="5" t="s">
        <v>21</v>
      </c>
      <c r="B115" s="4">
        <v>9</v>
      </c>
      <c r="C115" s="9" t="s">
        <v>48</v>
      </c>
      <c r="D115" s="9"/>
    </row>
    <row r="116" spans="1:4" x14ac:dyDescent="0.25">
      <c r="A116" s="1"/>
      <c r="B116" s="2"/>
      <c r="C116" s="10"/>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3" thickBot="1" x14ac:dyDescent="0.3">
      <c r="A124" s="3"/>
      <c r="B124" s="3"/>
      <c r="C124" s="11"/>
      <c r="D124" s="11"/>
    </row>
    <row r="125" spans="1:4" ht="13" thickBot="1" x14ac:dyDescent="0.3">
      <c r="A125" s="12" t="s">
        <v>22</v>
      </c>
      <c r="B125" s="12">
        <f>SUM(B115:B124)</f>
        <v>9</v>
      </c>
      <c r="C125" s="86" t="s">
        <v>34</v>
      </c>
      <c r="D125" s="13"/>
    </row>
    <row r="126" spans="1:4" ht="13" thickBot="1" x14ac:dyDescent="0.3">
      <c r="A126" s="14"/>
      <c r="B126" s="14"/>
      <c r="C126" s="14"/>
      <c r="D126" s="14"/>
    </row>
    <row r="127" spans="1:4" ht="18" thickBot="1" x14ac:dyDescent="0.3">
      <c r="A127" s="6" t="s">
        <v>14</v>
      </c>
      <c r="B127" s="7">
        <v>10</v>
      </c>
      <c r="C127" s="17"/>
      <c r="D127" s="85"/>
    </row>
    <row r="128" spans="1:4" ht="23.5" thickBot="1" x14ac:dyDescent="0.3">
      <c r="A128" s="8" t="s">
        <v>3</v>
      </c>
      <c r="B128" s="18" t="s">
        <v>15</v>
      </c>
      <c r="C128" s="8" t="s">
        <v>7</v>
      </c>
      <c r="D128" s="8" t="s">
        <v>13</v>
      </c>
    </row>
    <row r="129" spans="1:4" x14ac:dyDescent="0.25">
      <c r="A129" s="5"/>
      <c r="B129" s="4"/>
      <c r="C129" s="9"/>
      <c r="D129" s="9"/>
    </row>
    <row r="130" spans="1:4" x14ac:dyDescent="0.25">
      <c r="A130" s="1"/>
      <c r="B130" s="2"/>
      <c r="C130" s="10"/>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2"/>
      <c r="B135" s="2"/>
      <c r="C135" s="10"/>
      <c r="D135" s="10"/>
    </row>
    <row r="136" spans="1:4" x14ac:dyDescent="0.25">
      <c r="A136" s="2"/>
      <c r="B136" s="2"/>
      <c r="C136" s="10"/>
      <c r="D136" s="10"/>
    </row>
    <row r="137" spans="1:4" x14ac:dyDescent="0.25">
      <c r="A137" s="2"/>
      <c r="B137" s="2"/>
      <c r="C137" s="10"/>
      <c r="D137" s="10"/>
    </row>
    <row r="138" spans="1:4" ht="13" thickBot="1" x14ac:dyDescent="0.3">
      <c r="A138" s="3"/>
      <c r="B138" s="3"/>
      <c r="C138" s="11"/>
      <c r="D138" s="11"/>
    </row>
    <row r="139" spans="1:4" ht="13" thickBot="1" x14ac:dyDescent="0.3">
      <c r="A139" s="12" t="s">
        <v>22</v>
      </c>
      <c r="B139" s="12">
        <f>SUM(B129:B138)</f>
        <v>0</v>
      </c>
      <c r="C139" s="86" t="s">
        <v>34</v>
      </c>
      <c r="D139" s="13"/>
    </row>
    <row r="140" spans="1:4" ht="13" thickBot="1" x14ac:dyDescent="0.3">
      <c r="A140" s="14"/>
      <c r="B140" s="14"/>
      <c r="C140" s="14"/>
      <c r="D140" s="14"/>
    </row>
    <row r="141" spans="1:4" ht="18" thickBot="1" x14ac:dyDescent="0.3">
      <c r="A141" s="6" t="s">
        <v>14</v>
      </c>
      <c r="B141" s="7">
        <v>11</v>
      </c>
      <c r="C141" s="17"/>
      <c r="D141" s="85"/>
    </row>
    <row r="142" spans="1:4" ht="23.5" thickBot="1" x14ac:dyDescent="0.3">
      <c r="A142" s="8" t="s">
        <v>3</v>
      </c>
      <c r="B142" s="18" t="s">
        <v>15</v>
      </c>
      <c r="C142" s="8" t="s">
        <v>7</v>
      </c>
      <c r="D142" s="8" t="s">
        <v>13</v>
      </c>
    </row>
    <row r="143" spans="1:4" x14ac:dyDescent="0.25">
      <c r="A143" s="5"/>
      <c r="B143" s="4">
        <v>9</v>
      </c>
      <c r="C143" s="89" t="s">
        <v>49</v>
      </c>
      <c r="D143" s="9"/>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2"/>
      <c r="B149" s="2"/>
      <c r="C149" s="10"/>
      <c r="D149" s="10"/>
    </row>
    <row r="150" spans="1:4" x14ac:dyDescent="0.25">
      <c r="A150" s="2"/>
      <c r="B150" s="2"/>
      <c r="C150" s="10"/>
      <c r="D150" s="10"/>
    </row>
    <row r="151" spans="1:4" x14ac:dyDescent="0.25">
      <c r="A151" s="2"/>
      <c r="B151" s="2"/>
      <c r="C151" s="10"/>
      <c r="D151" s="10"/>
    </row>
    <row r="152" spans="1:4" ht="13" thickBot="1" x14ac:dyDescent="0.3">
      <c r="A152" s="3"/>
      <c r="B152" s="3"/>
      <c r="C152" s="11"/>
      <c r="D152" s="11"/>
    </row>
    <row r="153" spans="1:4" ht="13" thickBot="1" x14ac:dyDescent="0.3">
      <c r="A153" s="12" t="s">
        <v>22</v>
      </c>
      <c r="B153" s="12">
        <f>SUM(B143:B152)</f>
        <v>9</v>
      </c>
      <c r="C153" s="86" t="s">
        <v>34</v>
      </c>
      <c r="D153" s="13"/>
    </row>
    <row r="154" spans="1:4" x14ac:dyDescent="0.25">
      <c r="A154" s="14"/>
      <c r="B154" s="14"/>
      <c r="C154" s="14"/>
      <c r="D154" s="14"/>
    </row>
    <row r="155" spans="1:4" x14ac:dyDescent="0.25">
      <c r="A155" s="87" t="s">
        <v>35</v>
      </c>
    </row>
  </sheetData>
  <sheetProtection sheet="1" objects="1" scenarios="1" insertRows="0" selectLockedCells="1"/>
  <dataValidations count="4">
    <dataValidation type="list" allowBlank="1" showInputMessage="1" showErrorMessage="1" sqref="A3:A12 A17:A26 A31:A40 A45:A54 A59:A68 A73:A82 A87:A96 A101:A110 A115:A124 A129:A138 A143:A152" xr:uid="{1DA0F6DC-BC37-4208-BF94-F007A15B20F4}">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B153" xr:uid="{5D8FE497-19ED-4BF0-9C13-A4A7DFFEAF5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B115:B124 B129:B138 B143:B152" xr:uid="{89339AE6-CC2C-46C2-964F-D5635154223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9A8AC168-6F79-4790-9783-A84D4C1EA507}">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184150</xdr:rowOff>
              </from>
              <to>
                <xdr:col>7</xdr:col>
                <xdr:colOff>146050</xdr:colOff>
                <xdr:row>3</xdr:row>
                <xdr:rowOff>57150</xdr:rowOff>
              </to>
            </anchor>
          </controlPr>
        </control>
      </mc:Choice>
      <mc:Fallback>
        <control shapeId="41985"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row>
    <row r="2" spans="1:4" ht="23.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0</v>
      </c>
      <c r="C18" s="48"/>
      <c r="D18" s="48"/>
    </row>
    <row r="19" spans="1:8" x14ac:dyDescent="0.25">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x14ac:dyDescent="0.25">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184150</xdr:rowOff>
              </from>
              <to>
                <xdr:col>7</xdr:col>
                <xdr:colOff>146050</xdr:colOff>
                <xdr:row>3</xdr:row>
                <xdr:rowOff>57150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517-232D-4F43-9214-1C2C912609E6}">
  <sheetPr codeName="Feuil9"/>
  <dimension ref="A1:H210"/>
  <sheetViews>
    <sheetView tabSelected="1" topLeftCell="A4" zoomScale="136" zoomScaleNormal="136" workbookViewId="0">
      <selection activeCell="C178" sqref="C178"/>
    </sheetView>
  </sheetViews>
  <sheetFormatPr baseColWidth="10" defaultColWidth="11.453125" defaultRowHeight="12.5" x14ac:dyDescent="0.25"/>
  <cols>
    <col min="1" max="1" width="21.453125" style="20" customWidth="1"/>
    <col min="2" max="2" width="9.17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f>Donnees!$C$9</f>
        <v>45370</v>
      </c>
    </row>
    <row r="2" spans="1:4" ht="23.5" thickBot="1" x14ac:dyDescent="0.3">
      <c r="A2" s="45" t="s">
        <v>3</v>
      </c>
      <c r="B2" s="46" t="s">
        <v>15</v>
      </c>
      <c r="C2" s="45" t="s">
        <v>7</v>
      </c>
      <c r="D2" s="45" t="s">
        <v>13</v>
      </c>
    </row>
    <row r="3" spans="1:4" s="52" customFormat="1" x14ac:dyDescent="0.25">
      <c r="A3" s="5" t="s">
        <v>28</v>
      </c>
      <c r="B3" s="4">
        <v>1</v>
      </c>
      <c r="C3" s="89" t="s">
        <v>50</v>
      </c>
      <c r="D3" s="9"/>
    </row>
    <row r="4" spans="1:4" s="52" customFormat="1" ht="62.5" x14ac:dyDescent="0.25">
      <c r="A4" s="1" t="s">
        <v>28</v>
      </c>
      <c r="B4" s="2">
        <v>5</v>
      </c>
      <c r="C4" s="90" t="s">
        <v>53</v>
      </c>
      <c r="D4" s="10"/>
    </row>
    <row r="5" spans="1:4" s="52" customFormat="1" ht="25" x14ac:dyDescent="0.25">
      <c r="A5" s="1" t="s">
        <v>33</v>
      </c>
      <c r="B5" s="2">
        <v>1</v>
      </c>
      <c r="C5" s="90" t="s">
        <v>52</v>
      </c>
      <c r="D5" s="10"/>
    </row>
    <row r="6" spans="1:4" s="52" customFormat="1" ht="25" x14ac:dyDescent="0.25">
      <c r="A6" s="1" t="s">
        <v>21</v>
      </c>
      <c r="B6" s="2">
        <v>2</v>
      </c>
      <c r="C6" s="90" t="s">
        <v>51</v>
      </c>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9</v>
      </c>
      <c r="C18" s="88" t="s">
        <v>34</v>
      </c>
      <c r="D18" s="48"/>
    </row>
    <row r="19" spans="1:8" ht="13" thickBot="1" x14ac:dyDescent="0.3">
      <c r="A19" s="49"/>
      <c r="B19" s="49"/>
      <c r="C19" s="49"/>
      <c r="D19" s="49"/>
    </row>
    <row r="20" spans="1:8" ht="18" thickBot="1" x14ac:dyDescent="0.3">
      <c r="A20" s="42" t="s">
        <v>14</v>
      </c>
      <c r="B20" s="43">
        <v>2</v>
      </c>
      <c r="C20" s="44" t="s">
        <v>23</v>
      </c>
      <c r="D20" s="53">
        <f>$D$1+7</f>
        <v>45377</v>
      </c>
    </row>
    <row r="21" spans="1:8" ht="23.5" thickBot="1" x14ac:dyDescent="0.3">
      <c r="A21" s="45" t="s">
        <v>3</v>
      </c>
      <c r="B21" s="46" t="s">
        <v>15</v>
      </c>
      <c r="C21" s="45" t="s">
        <v>7</v>
      </c>
      <c r="D21" s="45" t="s">
        <v>13</v>
      </c>
    </row>
    <row r="22" spans="1:8" ht="25" x14ac:dyDescent="0.25">
      <c r="A22" s="5" t="s">
        <v>28</v>
      </c>
      <c r="B22" s="4">
        <v>3</v>
      </c>
      <c r="C22" s="89" t="s">
        <v>54</v>
      </c>
      <c r="D22" s="9"/>
    </row>
    <row r="23" spans="1:8" ht="37.5" x14ac:dyDescent="0.25">
      <c r="A23" s="1" t="s">
        <v>30</v>
      </c>
      <c r="B23" s="2">
        <v>3</v>
      </c>
      <c r="C23" s="90" t="s">
        <v>55</v>
      </c>
      <c r="D23" s="10"/>
    </row>
    <row r="24" spans="1:8" ht="25" x14ac:dyDescent="0.25">
      <c r="A24" s="1" t="s">
        <v>29</v>
      </c>
      <c r="B24" s="2">
        <v>1</v>
      </c>
      <c r="C24" s="90" t="s">
        <v>56</v>
      </c>
      <c r="D24" s="10"/>
    </row>
    <row r="25" spans="1:8" ht="49" customHeight="1" x14ac:dyDescent="0.25">
      <c r="A25" s="1" t="s">
        <v>42</v>
      </c>
      <c r="B25" s="2">
        <v>2</v>
      </c>
      <c r="C25" s="90" t="s">
        <v>57</v>
      </c>
      <c r="D25" s="10"/>
      <c r="F25" s="31"/>
      <c r="G25" s="32"/>
      <c r="H25" s="33"/>
    </row>
    <row r="26" spans="1:8" ht="15" x14ac:dyDescent="0.25">
      <c r="A26" s="1"/>
      <c r="B26" s="2"/>
      <c r="C26" s="9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3" thickBot="1" x14ac:dyDescent="0.3">
      <c r="A36" s="3"/>
      <c r="B36" s="3"/>
      <c r="C36" s="11"/>
      <c r="D36" s="11"/>
      <c r="F36" s="40"/>
      <c r="G36" s="40"/>
      <c r="H36" s="40"/>
    </row>
    <row r="37" spans="1:8" ht="13" thickBot="1" x14ac:dyDescent="0.3">
      <c r="A37" s="47" t="s">
        <v>22</v>
      </c>
      <c r="B37" s="47">
        <f>SUM(B22:B36)</f>
        <v>9</v>
      </c>
      <c r="C37" s="88" t="s">
        <v>34</v>
      </c>
      <c r="D37" s="48"/>
    </row>
    <row r="38" spans="1:8" ht="13" thickBot="1" x14ac:dyDescent="0.3">
      <c r="A38" s="49"/>
      <c r="B38" s="49"/>
      <c r="C38" s="49"/>
      <c r="D38" s="49"/>
    </row>
    <row r="39" spans="1:8" ht="18" thickBot="1" x14ac:dyDescent="0.3">
      <c r="A39" s="42" t="s">
        <v>14</v>
      </c>
      <c r="B39" s="43">
        <v>3</v>
      </c>
      <c r="C39" s="44" t="s">
        <v>23</v>
      </c>
      <c r="D39" s="53">
        <f>$D$20+7</f>
        <v>45384</v>
      </c>
    </row>
    <row r="40" spans="1:8" ht="23.5" thickBot="1" x14ac:dyDescent="0.3">
      <c r="A40" s="45" t="s">
        <v>3</v>
      </c>
      <c r="B40" s="46" t="s">
        <v>15</v>
      </c>
      <c r="C40" s="45" t="s">
        <v>7</v>
      </c>
      <c r="D40" s="45" t="s">
        <v>13</v>
      </c>
    </row>
    <row r="41" spans="1:8" x14ac:dyDescent="0.25">
      <c r="A41" s="5" t="s">
        <v>28</v>
      </c>
      <c r="B41" s="4">
        <v>9</v>
      </c>
      <c r="C41" s="89" t="s">
        <v>43</v>
      </c>
      <c r="D41" s="9"/>
    </row>
    <row r="42" spans="1:8" x14ac:dyDescent="0.25">
      <c r="A42" s="1"/>
      <c r="B42" s="2"/>
      <c r="C42" s="10"/>
      <c r="D42" s="10"/>
    </row>
    <row r="43" spans="1:8" x14ac:dyDescent="0.25">
      <c r="A43" s="1"/>
      <c r="B43" s="2"/>
      <c r="C43" s="10"/>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3" thickBot="1" x14ac:dyDescent="0.3">
      <c r="A55" s="3"/>
      <c r="B55" s="3"/>
      <c r="C55" s="11"/>
      <c r="D55" s="11"/>
    </row>
    <row r="56" spans="1:4" ht="13" thickBot="1" x14ac:dyDescent="0.3">
      <c r="A56" s="47" t="s">
        <v>22</v>
      </c>
      <c r="B56" s="47">
        <f>SUM(B41:B55)</f>
        <v>9</v>
      </c>
      <c r="C56" s="88" t="s">
        <v>34</v>
      </c>
      <c r="D56" s="48"/>
    </row>
    <row r="57" spans="1:4" ht="13" thickBot="1" x14ac:dyDescent="0.3">
      <c r="A57" s="49"/>
      <c r="B57" s="49"/>
      <c r="C57" s="49"/>
      <c r="D57" s="49"/>
    </row>
    <row r="58" spans="1:4" ht="18" thickBot="1" x14ac:dyDescent="0.3">
      <c r="A58" s="42" t="s">
        <v>14</v>
      </c>
      <c r="B58" s="43">
        <v>4</v>
      </c>
      <c r="C58" s="44" t="s">
        <v>23</v>
      </c>
      <c r="D58" s="53">
        <f>$D$39+7</f>
        <v>45391</v>
      </c>
    </row>
    <row r="59" spans="1:4" ht="23.5" thickBot="1" x14ac:dyDescent="0.3">
      <c r="A59" s="45" t="s">
        <v>3</v>
      </c>
      <c r="B59" s="46" t="s">
        <v>15</v>
      </c>
      <c r="C59" s="45" t="s">
        <v>7</v>
      </c>
      <c r="D59" s="45" t="s">
        <v>13</v>
      </c>
    </row>
    <row r="60" spans="1:4" x14ac:dyDescent="0.25">
      <c r="A60" s="5" t="s">
        <v>28</v>
      </c>
      <c r="B60" s="4">
        <v>9</v>
      </c>
      <c r="C60" s="89" t="s">
        <v>43</v>
      </c>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3" thickBot="1" x14ac:dyDescent="0.3">
      <c r="A74" s="3"/>
      <c r="B74" s="3"/>
      <c r="C74" s="11"/>
      <c r="D74" s="11"/>
    </row>
    <row r="75" spans="1:4" ht="13" thickBot="1" x14ac:dyDescent="0.3">
      <c r="A75" s="47" t="s">
        <v>22</v>
      </c>
      <c r="B75" s="47">
        <f>SUM(B60:B74)</f>
        <v>9</v>
      </c>
      <c r="C75" s="88" t="s">
        <v>34</v>
      </c>
      <c r="D75" s="48"/>
    </row>
    <row r="76" spans="1:4" ht="13" thickBot="1" x14ac:dyDescent="0.3">
      <c r="A76" s="49"/>
      <c r="B76" s="49"/>
      <c r="C76" s="49"/>
      <c r="D76" s="49"/>
    </row>
    <row r="77" spans="1:4" ht="18" thickBot="1" x14ac:dyDescent="0.3">
      <c r="A77" s="42" t="s">
        <v>14</v>
      </c>
      <c r="B77" s="43">
        <v>5</v>
      </c>
      <c r="C77" s="44" t="s">
        <v>23</v>
      </c>
      <c r="D77" s="53">
        <f>$D$58+7</f>
        <v>45398</v>
      </c>
    </row>
    <row r="78" spans="1:4" ht="23.5" thickBot="1" x14ac:dyDescent="0.3">
      <c r="A78" s="45" t="s">
        <v>3</v>
      </c>
      <c r="B78" s="46" t="s">
        <v>15</v>
      </c>
      <c r="C78" s="45" t="s">
        <v>7</v>
      </c>
      <c r="D78" s="45" t="s">
        <v>13</v>
      </c>
    </row>
    <row r="79" spans="1:4" ht="50" x14ac:dyDescent="0.25">
      <c r="A79" s="5" t="s">
        <v>33</v>
      </c>
      <c r="B79" s="4">
        <v>2</v>
      </c>
      <c r="C79" s="89" t="s">
        <v>58</v>
      </c>
      <c r="D79" s="9"/>
    </row>
    <row r="80" spans="1:4" ht="25" x14ac:dyDescent="0.25">
      <c r="A80" s="1" t="s">
        <v>21</v>
      </c>
      <c r="B80" s="2">
        <v>1</v>
      </c>
      <c r="C80" s="90" t="s">
        <v>59</v>
      </c>
      <c r="D80" s="10"/>
    </row>
    <row r="81" spans="1:4" ht="62" customHeight="1" x14ac:dyDescent="0.25">
      <c r="A81" s="1" t="s">
        <v>42</v>
      </c>
      <c r="B81" s="2">
        <v>2</v>
      </c>
      <c r="C81" s="92" t="s">
        <v>61</v>
      </c>
      <c r="D81" s="10"/>
    </row>
    <row r="82" spans="1:4" ht="34.5" x14ac:dyDescent="0.25">
      <c r="A82" s="1" t="s">
        <v>32</v>
      </c>
      <c r="B82" s="2">
        <v>2</v>
      </c>
      <c r="C82" s="93" t="s">
        <v>60</v>
      </c>
      <c r="D82" s="10"/>
    </row>
    <row r="83" spans="1:4" ht="50" x14ac:dyDescent="0.25">
      <c r="A83" s="1" t="s">
        <v>30</v>
      </c>
      <c r="B83" s="2">
        <v>2</v>
      </c>
      <c r="C83" s="90" t="s">
        <v>62</v>
      </c>
      <c r="D83" s="10"/>
    </row>
    <row r="84" spans="1:4" ht="13" x14ac:dyDescent="0.3">
      <c r="A84" s="1"/>
      <c r="B84" s="2"/>
      <c r="C84" s="91"/>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3" thickBot="1" x14ac:dyDescent="0.3">
      <c r="A93" s="3"/>
      <c r="B93" s="3"/>
      <c r="C93" s="11"/>
      <c r="D93" s="11"/>
    </row>
    <row r="94" spans="1:4" ht="13" thickBot="1" x14ac:dyDescent="0.3">
      <c r="A94" s="47" t="s">
        <v>22</v>
      </c>
      <c r="B94" s="47">
        <f>SUM(B79:B93)</f>
        <v>9</v>
      </c>
      <c r="C94" s="88" t="s">
        <v>34</v>
      </c>
      <c r="D94" s="48"/>
    </row>
    <row r="95" spans="1:4" ht="13" thickBot="1" x14ac:dyDescent="0.3">
      <c r="A95" s="49"/>
      <c r="B95" s="49"/>
      <c r="C95" s="49"/>
      <c r="D95" s="49"/>
    </row>
    <row r="96" spans="1:4" ht="18" thickBot="1" x14ac:dyDescent="0.3">
      <c r="A96" s="42" t="s">
        <v>14</v>
      </c>
      <c r="B96" s="43">
        <v>6</v>
      </c>
      <c r="C96" s="44" t="s">
        <v>23</v>
      </c>
      <c r="D96" s="53">
        <f>$D$77+7</f>
        <v>45405</v>
      </c>
    </row>
    <row r="97" spans="1:4" ht="23.5" thickBot="1" x14ac:dyDescent="0.3">
      <c r="A97" s="45" t="s">
        <v>3</v>
      </c>
      <c r="B97" s="46" t="s">
        <v>15</v>
      </c>
      <c r="C97" s="45" t="s">
        <v>7</v>
      </c>
      <c r="D97" s="45" t="s">
        <v>13</v>
      </c>
    </row>
    <row r="98" spans="1:4" x14ac:dyDescent="0.25">
      <c r="A98" s="5" t="s">
        <v>21</v>
      </c>
      <c r="B98" s="4">
        <v>9</v>
      </c>
      <c r="C98" s="89" t="s">
        <v>44</v>
      </c>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3" thickBot="1" x14ac:dyDescent="0.3">
      <c r="A112" s="3"/>
      <c r="B112" s="3"/>
      <c r="C112" s="11"/>
      <c r="D112" s="11"/>
    </row>
    <row r="113" spans="1:4" ht="13" thickBot="1" x14ac:dyDescent="0.3">
      <c r="A113" s="47" t="s">
        <v>22</v>
      </c>
      <c r="B113" s="47">
        <f>SUM(B98:B112)</f>
        <v>9</v>
      </c>
      <c r="C113" s="88" t="s">
        <v>34</v>
      </c>
      <c r="D113" s="48"/>
    </row>
    <row r="114" spans="1:4" ht="13" thickBot="1" x14ac:dyDescent="0.3">
      <c r="A114" s="49"/>
      <c r="B114" s="49"/>
      <c r="C114" s="49"/>
      <c r="D114" s="49"/>
    </row>
    <row r="115" spans="1:4" ht="18" thickBot="1" x14ac:dyDescent="0.3">
      <c r="A115" s="42" t="s">
        <v>14</v>
      </c>
      <c r="B115" s="43">
        <v>7</v>
      </c>
      <c r="C115" s="44" t="s">
        <v>23</v>
      </c>
      <c r="D115" s="53">
        <f>$D$96+7</f>
        <v>45412</v>
      </c>
    </row>
    <row r="116" spans="1:4" ht="23.5" thickBot="1" x14ac:dyDescent="0.3">
      <c r="A116" s="45" t="s">
        <v>3</v>
      </c>
      <c r="B116" s="46" t="s">
        <v>15</v>
      </c>
      <c r="C116" s="45" t="s">
        <v>7</v>
      </c>
      <c r="D116" s="45" t="s">
        <v>13</v>
      </c>
    </row>
    <row r="117" spans="1:4" ht="37.5" x14ac:dyDescent="0.25">
      <c r="A117" s="5" t="s">
        <v>33</v>
      </c>
      <c r="B117" s="4">
        <v>2</v>
      </c>
      <c r="C117" s="94" t="s">
        <v>64</v>
      </c>
      <c r="D117" s="9"/>
    </row>
    <row r="118" spans="1:4" ht="37.5" x14ac:dyDescent="0.25">
      <c r="A118" s="1" t="s">
        <v>29</v>
      </c>
      <c r="B118" s="2">
        <v>1</v>
      </c>
      <c r="C118" s="94" t="s">
        <v>63</v>
      </c>
      <c r="D118" s="10"/>
    </row>
    <row r="119" spans="1:4" ht="37.5" x14ac:dyDescent="0.25">
      <c r="A119" s="1" t="s">
        <v>42</v>
      </c>
      <c r="B119" s="2">
        <v>2</v>
      </c>
      <c r="C119" s="94" t="s">
        <v>65</v>
      </c>
      <c r="D119" s="10"/>
    </row>
    <row r="120" spans="1:4" ht="41" customHeight="1" x14ac:dyDescent="0.25">
      <c r="A120" s="2" t="s">
        <v>42</v>
      </c>
      <c r="B120" s="2">
        <v>2</v>
      </c>
      <c r="C120" s="95" t="s">
        <v>66</v>
      </c>
      <c r="D120" s="10"/>
    </row>
    <row r="121" spans="1:4" ht="50" x14ac:dyDescent="0.25">
      <c r="A121" s="1" t="s">
        <v>21</v>
      </c>
      <c r="B121" s="2">
        <v>1</v>
      </c>
      <c r="C121" s="94" t="s">
        <v>67</v>
      </c>
      <c r="D121" s="10"/>
    </row>
    <row r="122" spans="1:4" ht="50" x14ac:dyDescent="0.25">
      <c r="A122" s="1" t="s">
        <v>28</v>
      </c>
      <c r="B122" s="20">
        <v>1</v>
      </c>
      <c r="C122" s="94" t="s">
        <v>68</v>
      </c>
      <c r="D122" s="10"/>
    </row>
    <row r="123" spans="1:4" x14ac:dyDescent="0.25">
      <c r="A123" s="1"/>
      <c r="B123" s="2"/>
      <c r="C123" s="90"/>
      <c r="D123" s="10"/>
    </row>
    <row r="124" spans="1:4" x14ac:dyDescent="0.25">
      <c r="A124" s="1"/>
      <c r="C124" s="9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3" thickBot="1" x14ac:dyDescent="0.3">
      <c r="A131" s="3"/>
      <c r="B131" s="3"/>
      <c r="C131" s="11"/>
      <c r="D131" s="11"/>
    </row>
    <row r="132" spans="1:4" ht="13" thickBot="1" x14ac:dyDescent="0.3">
      <c r="A132" s="47" t="s">
        <v>22</v>
      </c>
      <c r="B132" s="47">
        <f>SUM(B117:B131)</f>
        <v>9</v>
      </c>
      <c r="C132" s="88" t="s">
        <v>34</v>
      </c>
      <c r="D132" s="48"/>
    </row>
    <row r="133" spans="1:4" ht="13" thickBot="1" x14ac:dyDescent="0.3">
      <c r="A133" s="49"/>
      <c r="B133" s="49"/>
      <c r="C133" s="49"/>
      <c r="D133" s="49"/>
    </row>
    <row r="134" spans="1:4" ht="18" thickBot="1" x14ac:dyDescent="0.3">
      <c r="A134" s="42" t="s">
        <v>14</v>
      </c>
      <c r="B134" s="43">
        <v>8</v>
      </c>
      <c r="C134" s="44" t="s">
        <v>23</v>
      </c>
      <c r="D134" s="53">
        <f>$D$115+7</f>
        <v>45419</v>
      </c>
    </row>
    <row r="135" spans="1:4" ht="23.5" thickBot="1" x14ac:dyDescent="0.3">
      <c r="A135" s="45" t="s">
        <v>3</v>
      </c>
      <c r="B135" s="46" t="s">
        <v>15</v>
      </c>
      <c r="C135" s="45" t="s">
        <v>7</v>
      </c>
      <c r="D135" s="45" t="s">
        <v>13</v>
      </c>
    </row>
    <row r="136" spans="1:4" x14ac:dyDescent="0.25">
      <c r="A136" s="5" t="s">
        <v>21</v>
      </c>
      <c r="B136" s="4">
        <v>9</v>
      </c>
      <c r="C136" s="89" t="s">
        <v>48</v>
      </c>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3" thickBot="1" x14ac:dyDescent="0.3">
      <c r="A150" s="3"/>
      <c r="B150" s="3"/>
      <c r="C150" s="11"/>
      <c r="D150" s="11"/>
    </row>
    <row r="151" spans="1:4" ht="13" thickBot="1" x14ac:dyDescent="0.3">
      <c r="A151" s="47" t="s">
        <v>22</v>
      </c>
      <c r="B151" s="47">
        <f>SUM(B136:B150)</f>
        <v>9</v>
      </c>
      <c r="C151" s="88" t="s">
        <v>34</v>
      </c>
      <c r="D151" s="48"/>
    </row>
    <row r="152" spans="1:4" ht="13" thickBot="1" x14ac:dyDescent="0.3">
      <c r="A152" s="49"/>
      <c r="B152" s="49"/>
      <c r="C152" s="49"/>
      <c r="D152" s="49"/>
    </row>
    <row r="153" spans="1:4" ht="18" thickBot="1" x14ac:dyDescent="0.3">
      <c r="A153" s="42" t="s">
        <v>14</v>
      </c>
      <c r="B153" s="43">
        <v>9</v>
      </c>
      <c r="C153" s="44" t="s">
        <v>23</v>
      </c>
      <c r="D153" s="53">
        <f>$D$134+7</f>
        <v>45426</v>
      </c>
    </row>
    <row r="154" spans="1:4" ht="23.5" thickBot="1" x14ac:dyDescent="0.3">
      <c r="A154" s="45" t="s">
        <v>3</v>
      </c>
      <c r="B154" s="46" t="s">
        <v>15</v>
      </c>
      <c r="C154" s="45" t="s">
        <v>7</v>
      </c>
      <c r="D154" s="45" t="s">
        <v>13</v>
      </c>
    </row>
    <row r="155" spans="1:4" ht="37.5" x14ac:dyDescent="0.25">
      <c r="A155" s="5" t="s">
        <v>30</v>
      </c>
      <c r="B155" s="4">
        <v>6</v>
      </c>
      <c r="C155" s="89" t="s">
        <v>70</v>
      </c>
      <c r="D155" s="9"/>
    </row>
    <row r="156" spans="1:4" ht="25" x14ac:dyDescent="0.25">
      <c r="A156" s="1" t="s">
        <v>29</v>
      </c>
      <c r="B156" s="2">
        <v>2</v>
      </c>
      <c r="C156" s="100" t="s">
        <v>71</v>
      </c>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0"/>
      <c r="B167" s="50"/>
      <c r="C167" s="51"/>
      <c r="D167" s="51"/>
    </row>
    <row r="168" spans="1:4" x14ac:dyDescent="0.25">
      <c r="A168" s="50"/>
      <c r="B168" s="50"/>
      <c r="C168" s="51"/>
      <c r="D168" s="51"/>
    </row>
    <row r="169" spans="1:4" ht="13" thickBot="1" x14ac:dyDescent="0.3">
      <c r="A169" s="3"/>
      <c r="B169" s="3"/>
      <c r="C169" s="11"/>
      <c r="D169" s="11"/>
    </row>
    <row r="170" spans="1:4" ht="13" thickBot="1" x14ac:dyDescent="0.3">
      <c r="A170" s="47" t="s">
        <v>22</v>
      </c>
      <c r="B170" s="47">
        <f>SUM(B155:B169)</f>
        <v>8</v>
      </c>
      <c r="C170" s="88" t="s">
        <v>34</v>
      </c>
      <c r="D170" s="48"/>
    </row>
    <row r="171" spans="1:4" ht="13" thickBot="1" x14ac:dyDescent="0.3">
      <c r="A171" s="49"/>
      <c r="B171" s="49"/>
      <c r="C171" s="49"/>
      <c r="D171" s="49"/>
    </row>
    <row r="172" spans="1:4" ht="18" thickBot="1" x14ac:dyDescent="0.3">
      <c r="A172" s="42" t="s">
        <v>14</v>
      </c>
      <c r="B172" s="43">
        <v>10</v>
      </c>
      <c r="C172" s="44" t="s">
        <v>23</v>
      </c>
      <c r="D172" s="53">
        <f>$D$153+7</f>
        <v>45433</v>
      </c>
    </row>
    <row r="173" spans="1:4" ht="23.5" thickBot="1" x14ac:dyDescent="0.3">
      <c r="A173" s="45" t="s">
        <v>3</v>
      </c>
      <c r="B173" s="46" t="s">
        <v>15</v>
      </c>
      <c r="C173" s="45" t="s">
        <v>7</v>
      </c>
      <c r="D173" s="45" t="s">
        <v>13</v>
      </c>
    </row>
    <row r="174" spans="1:4" x14ac:dyDescent="0.25">
      <c r="A174" s="5" t="s">
        <v>29</v>
      </c>
      <c r="B174" s="4">
        <v>2</v>
      </c>
      <c r="C174" s="89" t="s">
        <v>72</v>
      </c>
      <c r="D174" s="9"/>
    </row>
    <row r="175" spans="1:4" ht="25" x14ac:dyDescent="0.25">
      <c r="A175" s="1" t="s">
        <v>31</v>
      </c>
      <c r="B175" s="2">
        <v>2</v>
      </c>
      <c r="C175" s="90" t="s">
        <v>73</v>
      </c>
      <c r="D175" s="10"/>
    </row>
    <row r="176" spans="1:4" ht="50" x14ac:dyDescent="0.25">
      <c r="A176" s="1" t="s">
        <v>21</v>
      </c>
      <c r="B176" s="2">
        <v>2</v>
      </c>
      <c r="C176" s="90" t="s">
        <v>69</v>
      </c>
      <c r="D176" s="10"/>
    </row>
    <row r="177" spans="1:4" x14ac:dyDescent="0.25">
      <c r="A177" s="1"/>
      <c r="B177" s="2"/>
      <c r="C177" s="10"/>
      <c r="D177" s="10"/>
    </row>
    <row r="178" spans="1:4" x14ac:dyDescent="0.25">
      <c r="A178" s="1"/>
      <c r="B178" s="2"/>
      <c r="C178" s="10"/>
      <c r="D178" s="10"/>
    </row>
    <row r="179" spans="1:4" x14ac:dyDescent="0.25">
      <c r="A179" s="1"/>
      <c r="B179" s="2"/>
      <c r="C179" s="10"/>
      <c r="D179" s="10"/>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2"/>
      <c r="B183" s="2"/>
      <c r="C183" s="10"/>
      <c r="D183" s="10"/>
    </row>
    <row r="184" spans="1:4" x14ac:dyDescent="0.25">
      <c r="A184" s="2"/>
      <c r="B184" s="2"/>
      <c r="C184" s="10"/>
      <c r="D184" s="10"/>
    </row>
    <row r="185" spans="1:4" x14ac:dyDescent="0.25">
      <c r="A185" s="2"/>
      <c r="B185" s="2"/>
      <c r="C185" s="10"/>
      <c r="D185" s="10"/>
    </row>
    <row r="186" spans="1:4" x14ac:dyDescent="0.25">
      <c r="A186" s="50"/>
      <c r="B186" s="50"/>
      <c r="C186" s="51"/>
      <c r="D186" s="51"/>
    </row>
    <row r="187" spans="1:4" x14ac:dyDescent="0.25">
      <c r="A187" s="50"/>
      <c r="B187" s="50"/>
      <c r="C187" s="51"/>
      <c r="D187" s="51"/>
    </row>
    <row r="188" spans="1:4" ht="13" thickBot="1" x14ac:dyDescent="0.3">
      <c r="A188" s="3"/>
      <c r="B188" s="3"/>
      <c r="C188" s="11"/>
      <c r="D188" s="11"/>
    </row>
    <row r="189" spans="1:4" ht="13" thickBot="1" x14ac:dyDescent="0.3">
      <c r="A189" s="47" t="s">
        <v>22</v>
      </c>
      <c r="B189" s="47">
        <f>SUM(B174:B188)</f>
        <v>6</v>
      </c>
      <c r="C189" s="88" t="s">
        <v>34</v>
      </c>
      <c r="D189" s="48"/>
    </row>
    <row r="190" spans="1:4" ht="13" thickBot="1" x14ac:dyDescent="0.3">
      <c r="A190" s="49"/>
      <c r="B190" s="49"/>
      <c r="C190" s="49"/>
      <c r="D190" s="49"/>
    </row>
    <row r="191" spans="1:4" ht="18" thickBot="1" x14ac:dyDescent="0.3">
      <c r="A191" s="42" t="s">
        <v>14</v>
      </c>
      <c r="B191" s="43">
        <v>11</v>
      </c>
      <c r="C191" s="44" t="s">
        <v>23</v>
      </c>
      <c r="D191" s="53">
        <f>$D$172+7</f>
        <v>45440</v>
      </c>
    </row>
    <row r="192" spans="1:4" ht="23.5" thickBot="1" x14ac:dyDescent="0.3">
      <c r="A192" s="45" t="s">
        <v>3</v>
      </c>
      <c r="B192" s="46" t="s">
        <v>15</v>
      </c>
      <c r="C192" s="45" t="s">
        <v>7</v>
      </c>
      <c r="D192" s="45" t="s">
        <v>13</v>
      </c>
    </row>
    <row r="193" spans="1:4" x14ac:dyDescent="0.25">
      <c r="A193" s="5" t="s">
        <v>28</v>
      </c>
      <c r="B193" s="4">
        <v>9</v>
      </c>
      <c r="C193" s="89" t="s">
        <v>49</v>
      </c>
      <c r="D193" s="9"/>
    </row>
    <row r="194" spans="1:4" x14ac:dyDescent="0.25">
      <c r="A194" s="1"/>
      <c r="B194" s="2"/>
      <c r="C194" s="10"/>
      <c r="D194" s="10"/>
    </row>
    <row r="195" spans="1:4" x14ac:dyDescent="0.25">
      <c r="A195" s="1"/>
      <c r="B195" s="2"/>
      <c r="C195" s="10"/>
      <c r="D195" s="10"/>
    </row>
    <row r="196" spans="1:4" x14ac:dyDescent="0.25">
      <c r="A196" s="1"/>
      <c r="B196" s="2"/>
      <c r="C196" s="10"/>
      <c r="D196" s="10"/>
    </row>
    <row r="197" spans="1:4" x14ac:dyDescent="0.25">
      <c r="A197" s="1"/>
      <c r="B197" s="2"/>
      <c r="C197" s="10"/>
      <c r="D197" s="10"/>
    </row>
    <row r="198" spans="1:4" x14ac:dyDescent="0.25">
      <c r="A198" s="1"/>
      <c r="B198" s="2"/>
      <c r="C198" s="10"/>
      <c r="D198" s="10"/>
    </row>
    <row r="199" spans="1:4" x14ac:dyDescent="0.25">
      <c r="A199" s="1"/>
      <c r="B199" s="2"/>
      <c r="C199" s="10"/>
      <c r="D199" s="10"/>
    </row>
    <row r="200" spans="1:4" x14ac:dyDescent="0.25">
      <c r="A200" s="1"/>
      <c r="B200" s="2"/>
      <c r="C200" s="10"/>
      <c r="D200" s="10"/>
    </row>
    <row r="201" spans="1:4" x14ac:dyDescent="0.25">
      <c r="A201" s="1"/>
      <c r="B201" s="2"/>
      <c r="C201" s="10"/>
      <c r="D201" s="10"/>
    </row>
    <row r="202" spans="1:4" x14ac:dyDescent="0.25">
      <c r="A202" s="2"/>
      <c r="B202" s="2"/>
      <c r="C202" s="10"/>
      <c r="D202" s="10"/>
    </row>
    <row r="203" spans="1:4" x14ac:dyDescent="0.25">
      <c r="A203" s="2"/>
      <c r="B203" s="2"/>
      <c r="C203" s="10"/>
      <c r="D203" s="10"/>
    </row>
    <row r="204" spans="1:4" x14ac:dyDescent="0.25">
      <c r="A204" s="2"/>
      <c r="B204" s="2"/>
      <c r="C204" s="10"/>
      <c r="D204" s="10"/>
    </row>
    <row r="205" spans="1:4" x14ac:dyDescent="0.25">
      <c r="A205" s="50"/>
      <c r="B205" s="50"/>
      <c r="C205" s="51"/>
      <c r="D205" s="51"/>
    </row>
    <row r="206" spans="1:4" x14ac:dyDescent="0.25">
      <c r="A206" s="50"/>
      <c r="B206" s="50"/>
      <c r="C206" s="51"/>
      <c r="D206" s="51"/>
    </row>
    <row r="207" spans="1:4" ht="13" thickBot="1" x14ac:dyDescent="0.3">
      <c r="A207" s="3"/>
      <c r="B207" s="3"/>
      <c r="C207" s="11"/>
      <c r="D207" s="11"/>
    </row>
    <row r="208" spans="1:4" ht="13" thickBot="1" x14ac:dyDescent="0.3">
      <c r="A208" s="47" t="s">
        <v>22</v>
      </c>
      <c r="B208" s="47">
        <f>SUM(B193:B207)</f>
        <v>9</v>
      </c>
      <c r="C208" s="88" t="s">
        <v>34</v>
      </c>
      <c r="D208" s="48"/>
    </row>
    <row r="209" spans="1:4" x14ac:dyDescent="0.25">
      <c r="A209" s="49"/>
      <c r="B209" s="49"/>
      <c r="C209" s="49"/>
      <c r="D209" s="49"/>
    </row>
    <row r="210" spans="1:4" x14ac:dyDescent="0.25">
      <c r="A210" s="87" t="s">
        <v>35</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C9668AD4-7323-4736-BE94-764F49F1F8CB}">
      <formula1>0</formula1>
      <formula2>DureePeriode-1</formula2>
    </dataValidation>
    <dataValidation type="whole" errorStyle="warning" operator="greaterThan" allowBlank="1" showInputMessage="1" showErrorMessage="1" errorTitle="Durée en 1/3 de période" error="Le nombre doit être de type entier" sqref="F27:F34 B3:B17 B193:B207 B41:B55 B60:B74 B79:B93 B98:B112 B22:B36 B136:B150 B155:B169 B174:B188 B117:B131" xr:uid="{DB2BDE9E-E080-4940-A9DA-9766FB77B659}">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B189 B208" xr:uid="{9487036A-3F4E-4539-A495-BCAF62EC9992}">
      <formula1>0</formula1>
      <formula2>NbPerWeek * NbQuartPer</formula2>
    </dataValidation>
    <dataValidation type="list" allowBlank="1" showInputMessage="1" showErrorMessage="1" sqref="A3:A17 A193:A207 A41:A55 A60:A74 A79:A93 A98:A112 A22:A36 A136:A150 A155:A169 A174:A188 A117:A131" xr:uid="{B9287AAE-3640-4CDD-85A2-27D1F43BB9CE}">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184150</xdr:rowOff>
              </from>
              <to>
                <xdr:col>7</xdr:col>
                <xdr:colOff>146050</xdr:colOff>
                <xdr:row>3</xdr:row>
                <xdr:rowOff>57150</xdr:rowOff>
              </to>
            </anchor>
          </controlPr>
        </control>
      </mc:Choice>
      <mc:Fallback>
        <control shapeId="43009"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ée un document." ma:contentTypeScope="" ma:versionID="dfc93c5c9a05f85faaac4198369d3c5b">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c3b7a71f184c09f60299ad8668ca7723"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C07A01-2FFD-42C3-8E68-579A87261391}">
  <ds:schemaRefs>
    <ds:schemaRef ds:uri="http://schemas.microsoft.com/sharepoint/v3/contenttype/forms"/>
  </ds:schemaRefs>
</ds:datastoreItem>
</file>

<file path=customXml/itemProps2.xml><?xml version="1.0" encoding="utf-8"?>
<ds:datastoreItem xmlns:ds="http://schemas.openxmlformats.org/officeDocument/2006/customXml" ds:itemID="{7DB85ABA-7226-4D57-9147-FA062A5126E4}">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02D1501B-6096-49B1-9621-1F394448B5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Omar</dc:creator>
  <cp:lastModifiedBy>Omar Egal Ahmed</cp:lastModifiedBy>
  <cp:lastPrinted>2013-08-29T11:33:15Z</cp:lastPrinted>
  <dcterms:created xsi:type="dcterms:W3CDTF">1996-10-21T11:03:58Z</dcterms:created>
  <dcterms:modified xsi:type="dcterms:W3CDTF">2024-05-28T19:10:00Z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